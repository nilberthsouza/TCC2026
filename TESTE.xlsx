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be\Documents\DISCIPLINAS\TCC2026\"/>
    </mc:Choice>
  </mc:AlternateContent>
  <xr:revisionPtr revIDLastSave="0" documentId="13_ncr:2001_{D2D1B4F0-FED8-4B56-885C-D6AE23D97487}" xr6:coauthVersionLast="47" xr6:coauthVersionMax="47" xr10:uidLastSave="{00000000-0000-0000-0000-000000000000}"/>
  <bookViews>
    <workbookView xWindow="-108" yWindow="-108" windowWidth="23256" windowHeight="12456" activeTab="4" xr2:uid="{F5B76033-715A-4D61-ACFB-271E9F0509A6}"/>
  </bookViews>
  <sheets>
    <sheet name="Planilha1" sheetId="1" r:id="rId1"/>
    <sheet name="Planilha7" sheetId="7" r:id="rId2"/>
    <sheet name="Planilha2" sheetId="8" r:id="rId3"/>
    <sheet name="812 até 854" sheetId="2" r:id="rId4"/>
    <sheet name="Planilha3" sheetId="9" r:id="rId5"/>
  </sheets>
  <definedNames>
    <definedName name="solver_adj" localSheetId="4" hidden="1">Planilha3!$L$1:$L$32</definedName>
    <definedName name="solver_adj" localSheetId="1" hidden="1">Planilha7!$F$2:$F$33</definedName>
    <definedName name="solver_cvg" localSheetId="4" hidden="1">0.0001</definedName>
    <definedName name="solver_cvg" localSheetId="1" hidden="1">0.0001</definedName>
    <definedName name="solver_drv" localSheetId="4" hidden="1">1</definedName>
    <definedName name="solver_drv" localSheetId="1" hidden="1">1</definedName>
    <definedName name="solver_eng" localSheetId="4" hidden="1">1</definedName>
    <definedName name="solver_eng" localSheetId="1" hidden="1">1</definedName>
    <definedName name="solver_est" localSheetId="4" hidden="1">1</definedName>
    <definedName name="solver_est" localSheetId="1" hidden="1">1</definedName>
    <definedName name="solver_itr" localSheetId="4" hidden="1">2147483647</definedName>
    <definedName name="solver_itr" localSheetId="1" hidden="1">2147483647</definedName>
    <definedName name="solver_lhs1" localSheetId="4" hidden="1">Planilha3!$L$1</definedName>
    <definedName name="solver_lhs1" localSheetId="1" hidden="1">Planilha7!$K$5</definedName>
    <definedName name="solver_lhs10" localSheetId="4" hidden="1">Planilha3!$U$4</definedName>
    <definedName name="solver_lhs11" localSheetId="4" hidden="1">Planilha3!$U$5</definedName>
    <definedName name="solver_lhs12" localSheetId="4" hidden="1">Planilha3!$U$6</definedName>
    <definedName name="solver_lhs13" localSheetId="4" hidden="1">Planilha3!$U$7</definedName>
    <definedName name="solver_lhs2" localSheetId="4" hidden="1">Planilha3!$L$1:$L$32</definedName>
    <definedName name="solver_lhs2" localSheetId="1" hidden="1">Planilha7!$L$2</definedName>
    <definedName name="solver_lhs3" localSheetId="4" hidden="1">Planilha3!$L$2</definedName>
    <definedName name="solver_lhs3" localSheetId="1" hidden="1">Planilha7!$L$3</definedName>
    <definedName name="solver_lhs4" localSheetId="4" hidden="1">Planilha3!$L$3</definedName>
    <definedName name="solver_lhs4" localSheetId="1" hidden="1">Planilha7!$L$4</definedName>
    <definedName name="solver_lhs5" localSheetId="4" hidden="1">Planilha3!$L$4</definedName>
    <definedName name="solver_lhs6" localSheetId="4" hidden="1">Planilha3!$L$5</definedName>
    <definedName name="solver_lhs7" localSheetId="4" hidden="1">Planilha3!$L$7</definedName>
    <definedName name="solver_lhs8" localSheetId="4" hidden="1">Planilha3!$U$2</definedName>
    <definedName name="solver_lhs9" localSheetId="4" hidden="1">Planilha3!$U$3</definedName>
    <definedName name="solver_mip" localSheetId="4" hidden="1">2147483647</definedName>
    <definedName name="solver_mip" localSheetId="1" hidden="1">2147483647</definedName>
    <definedName name="solver_mni" localSheetId="4" hidden="1">30</definedName>
    <definedName name="solver_mni" localSheetId="1" hidden="1">30</definedName>
    <definedName name="solver_mrt" localSheetId="4" hidden="1">0.075</definedName>
    <definedName name="solver_mrt" localSheetId="1" hidden="1">0.075</definedName>
    <definedName name="solver_msl" localSheetId="4" hidden="1">2</definedName>
    <definedName name="solver_msl" localSheetId="1" hidden="1">2</definedName>
    <definedName name="solver_neg" localSheetId="4" hidden="1">1</definedName>
    <definedName name="solver_neg" localSheetId="1" hidden="1">1</definedName>
    <definedName name="solver_nod" localSheetId="4" hidden="1">2147483647</definedName>
    <definedName name="solver_nod" localSheetId="1" hidden="1">2147483647</definedName>
    <definedName name="solver_num" localSheetId="4" hidden="1">13</definedName>
    <definedName name="solver_num" localSheetId="1" hidden="1">4</definedName>
    <definedName name="solver_nwt" localSheetId="4" hidden="1">1</definedName>
    <definedName name="solver_nwt" localSheetId="1" hidden="1">1</definedName>
    <definedName name="solver_opt" localSheetId="4" hidden="1">Planilha3!$U$9</definedName>
    <definedName name="solver_opt" localSheetId="1" hidden="1">Planilha7!$L$2</definedName>
    <definedName name="solver_pre" localSheetId="4" hidden="1">0.000001</definedName>
    <definedName name="solver_pre" localSheetId="1" hidden="1">0.000001</definedName>
    <definedName name="solver_rbv" localSheetId="4" hidden="1">1</definedName>
    <definedName name="solver_rbv" localSheetId="1" hidden="1">1</definedName>
    <definedName name="solver_rel1" localSheetId="4" hidden="1">2</definedName>
    <definedName name="solver_rel1" localSheetId="1" hidden="1">2</definedName>
    <definedName name="solver_rel10" localSheetId="4" hidden="1">2</definedName>
    <definedName name="solver_rel11" localSheetId="4" hidden="1">2</definedName>
    <definedName name="solver_rel12" localSheetId="4" hidden="1">2</definedName>
    <definedName name="solver_rel13" localSheetId="4" hidden="1">2</definedName>
    <definedName name="solver_rel2" localSheetId="4" hidden="1">3</definedName>
    <definedName name="solver_rel2" localSheetId="1" hidden="1">2</definedName>
    <definedName name="solver_rel3" localSheetId="4" hidden="1">2</definedName>
    <definedName name="solver_rel3" localSheetId="1" hidden="1">2</definedName>
    <definedName name="solver_rel4" localSheetId="4" hidden="1">2</definedName>
    <definedName name="solver_rel4" localSheetId="1" hidden="1">2</definedName>
    <definedName name="solver_rel5" localSheetId="4" hidden="1">2</definedName>
    <definedName name="solver_rel6" localSheetId="4" hidden="1">2</definedName>
    <definedName name="solver_rel7" localSheetId="4" hidden="1">2</definedName>
    <definedName name="solver_rel8" localSheetId="4" hidden="1">2</definedName>
    <definedName name="solver_rel9" localSheetId="4" hidden="1">2</definedName>
    <definedName name="solver_rhs1" localSheetId="4" hidden="1">Planilha3!$P$14</definedName>
    <definedName name="solver_rhs1" localSheetId="1" hidden="1">Planilha7!$L$5</definedName>
    <definedName name="solver_rhs10" localSheetId="4" hidden="1">Planilha3!$O$4</definedName>
    <definedName name="solver_rhs11" localSheetId="4" hidden="1">Planilha3!$O$5</definedName>
    <definedName name="solver_rhs12" localSheetId="4" hidden="1">Planilha3!$O$6</definedName>
    <definedName name="solver_rhs13" localSheetId="4" hidden="1">Planilha3!$O$7</definedName>
    <definedName name="solver_rhs2" localSheetId="4" hidden="1">0.001</definedName>
    <definedName name="solver_rhs2" localSheetId="1" hidden="1">Planilha7!$K$2</definedName>
    <definedName name="solver_rhs3" localSheetId="4" hidden="1">Planilha3!$P$15</definedName>
    <definedName name="solver_rhs3" localSheetId="1" hidden="1">Planilha7!$K$3</definedName>
    <definedName name="solver_rhs4" localSheetId="4" hidden="1">Planilha3!$P$16</definedName>
    <definedName name="solver_rhs4" localSheetId="1" hidden="1">Planilha7!$L$4</definedName>
    <definedName name="solver_rhs5" localSheetId="4" hidden="1">Planilha3!$P$17</definedName>
    <definedName name="solver_rhs6" localSheetId="4" hidden="1">Planilha3!$P$18</definedName>
    <definedName name="solver_rhs7" localSheetId="4" hidden="1">Planilha3!$S$12</definedName>
    <definedName name="solver_rhs8" localSheetId="4" hidden="1">Planilha3!$O$2</definedName>
    <definedName name="solver_rhs9" localSheetId="4" hidden="1">Planilha3!$O$3</definedName>
    <definedName name="solver_rlx" localSheetId="4" hidden="1">2</definedName>
    <definedName name="solver_rlx" localSheetId="1" hidden="1">2</definedName>
    <definedName name="solver_rsd" localSheetId="4" hidden="1">0</definedName>
    <definedName name="solver_rsd" localSheetId="1" hidden="1">0</definedName>
    <definedName name="solver_scl" localSheetId="4" hidden="1">1</definedName>
    <definedName name="solver_scl" localSheetId="1" hidden="1">1</definedName>
    <definedName name="solver_sho" localSheetId="4" hidden="1">2</definedName>
    <definedName name="solver_sho" localSheetId="1" hidden="1">2</definedName>
    <definedName name="solver_ssz" localSheetId="4" hidden="1">100</definedName>
    <definedName name="solver_ssz" localSheetId="1" hidden="1">100</definedName>
    <definedName name="solver_tim" localSheetId="4" hidden="1">2147483647</definedName>
    <definedName name="solver_tim" localSheetId="1" hidden="1">2147483647</definedName>
    <definedName name="solver_tol" localSheetId="4" hidden="1">0.01</definedName>
    <definedName name="solver_tol" localSheetId="1" hidden="1">0.01</definedName>
    <definedName name="solver_typ" localSheetId="4" hidden="1">3</definedName>
    <definedName name="solver_typ" localSheetId="1" hidden="1">3</definedName>
    <definedName name="solver_val" localSheetId="4" hidden="1">9.53</definedName>
    <definedName name="solver_val" localSheetId="1" hidden="1">9.53</definedName>
    <definedName name="solver_ver" localSheetId="4" hidden="1">3</definedName>
    <definedName name="solver_ver" localSheetId="1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" i="9" l="1"/>
  <c r="U9" i="9"/>
  <c r="U7" i="9"/>
  <c r="U6" i="9"/>
  <c r="U5" i="9"/>
  <c r="U4" i="9"/>
  <c r="U3" i="9"/>
  <c r="U2" i="9"/>
  <c r="R2" i="9"/>
  <c r="T10" i="7"/>
  <c r="U2" i="7"/>
  <c r="G4" i="1"/>
  <c r="G5" i="1"/>
  <c r="G6" i="1"/>
  <c r="G7" i="1"/>
  <c r="G8" i="1"/>
  <c r="F3" i="1"/>
  <c r="G3" i="1" s="1"/>
  <c r="U3" i="7"/>
</calcChain>
</file>

<file path=xl/sharedStrings.xml><?xml version="1.0" encoding="utf-8"?>
<sst xmlns="http://schemas.openxmlformats.org/spreadsheetml/2006/main" count="318" uniqueCount="93">
  <si>
    <t>Fault Bus</t>
  </si>
  <si>
    <t>Actual (miles)</t>
  </si>
  <si>
    <t>Linha</t>
  </si>
  <si>
    <t>Bus1 (De)</t>
  </si>
  <si>
    <t>Bus2 (Para)</t>
  </si>
  <si>
    <t>Comprimento (mi)</t>
  </si>
  <si>
    <t>Comprimento Acumulado (mi)</t>
  </si>
  <si>
    <t>L6</t>
  </si>
  <si>
    <t>L7</t>
  </si>
  <si>
    <t>814r</t>
  </si>
  <si>
    <t>L24</t>
  </si>
  <si>
    <t>L9</t>
  </si>
  <si>
    <t>L13</t>
  </si>
  <si>
    <t>L14</t>
  </si>
  <si>
    <t>L15</t>
  </si>
  <si>
    <t>L8</t>
  </si>
  <si>
    <t>L10</t>
  </si>
  <si>
    <t>L11</t>
  </si>
  <si>
    <t>(Até 854)</t>
  </si>
  <si>
    <t>(Trecho 1)</t>
  </si>
  <si>
    <t>L27</t>
  </si>
  <si>
    <t>L25</t>
  </si>
  <si>
    <t>852r</t>
  </si>
  <si>
    <t>L16</t>
  </si>
  <si>
    <t>L29</t>
  </si>
  <si>
    <t>(Até 834)</t>
  </si>
  <si>
    <t>(Trecho 3)</t>
  </si>
  <si>
    <t>L17</t>
  </si>
  <si>
    <t>L30</t>
  </si>
  <si>
    <t>L19</t>
  </si>
  <si>
    <t>L18</t>
  </si>
  <si>
    <t>L21</t>
  </si>
  <si>
    <t>L22</t>
  </si>
  <si>
    <t>L23</t>
  </si>
  <si>
    <t>Nome da Linha</t>
  </si>
  <si>
    <t>Fases</t>
  </si>
  <si>
    <t>LineCode</t>
  </si>
  <si>
    <t>Unidade</t>
  </si>
  <si>
    <t>L1</t>
  </si>
  <si>
    <t>800.1.2.3</t>
  </si>
  <si>
    <t>802.1.2.3</t>
  </si>
  <si>
    <t>mi</t>
  </si>
  <si>
    <t>L2</t>
  </si>
  <si>
    <t>806.1.2.3</t>
  </si>
  <si>
    <t>L3</t>
  </si>
  <si>
    <t>808.1.2.3</t>
  </si>
  <si>
    <t>L4</t>
  </si>
  <si>
    <t>L5</t>
  </si>
  <si>
    <t>812.1.2.3</t>
  </si>
  <si>
    <t>814.1.2.3</t>
  </si>
  <si>
    <t>814r.1.2.3</t>
  </si>
  <si>
    <t>850.1.2.3</t>
  </si>
  <si>
    <t>816.1.2.3</t>
  </si>
  <si>
    <t>824.1.2.3</t>
  </si>
  <si>
    <t>L12</t>
  </si>
  <si>
    <t>828.1.2.3</t>
  </si>
  <si>
    <t>830.1.2.3</t>
  </si>
  <si>
    <t>854.1.2.3</t>
  </si>
  <si>
    <t>832.1.2.3</t>
  </si>
  <si>
    <t>858.1.2.3</t>
  </si>
  <si>
    <t>834.1.2.3</t>
  </si>
  <si>
    <t>860.1.2.3</t>
  </si>
  <si>
    <t>842.1.2.3</t>
  </si>
  <si>
    <t>836.1.2.3</t>
  </si>
  <si>
    <t>840.1.2.3</t>
  </si>
  <si>
    <t>L20</t>
  </si>
  <si>
    <t>862.1.2.3</t>
  </si>
  <si>
    <t>844.1.2.3</t>
  </si>
  <si>
    <t>846.1.2.3</t>
  </si>
  <si>
    <t>848.1.2.3</t>
  </si>
  <si>
    <t>852r.1.2.3</t>
  </si>
  <si>
    <t>L26</t>
  </si>
  <si>
    <t>852.1.2.3</t>
  </si>
  <si>
    <t>L28</t>
  </si>
  <si>
    <t>L31</t>
  </si>
  <si>
    <t>L32</t>
  </si>
  <si>
    <t>888.1.2.3</t>
  </si>
  <si>
    <t>890.1.2.3</t>
  </si>
  <si>
    <t>RESTRIÇÕES</t>
  </si>
  <si>
    <t xml:space="preserve">Cumprimento Total = </t>
  </si>
  <si>
    <t xml:space="preserve">L6 L7 L24 L9 L13 L14 L15 </t>
  </si>
  <si>
    <t xml:space="preserve">L6 L7 L24 L8 L10 L11 </t>
  </si>
  <si>
    <t xml:space="preserve">L6 L7 L24 L9 L13 L14 L15 L27 L25 L16 L29  </t>
  </si>
  <si>
    <t xml:space="preserve">L6 L7 L24 L9 L13 L14 L15 L27 L25 L16 L29  L17 L30 L19 </t>
  </si>
  <si>
    <t xml:space="preserve">L6 L7 L24 L9 L13 L14 L15 L27 L25 L16 L29 L18 L21 L22 L23 </t>
  </si>
  <si>
    <t>L6 L7</t>
  </si>
  <si>
    <t xml:space="preserve"> </t>
  </si>
  <si>
    <t>Bus 1</t>
  </si>
  <si>
    <t>Bus 2</t>
  </si>
  <si>
    <t>Comprimento</t>
  </si>
  <si>
    <t>Z</t>
  </si>
  <si>
    <t xml:space="preserve">L7 = 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</si>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</sst>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0" xfId="0" applyFont="1"/>
    <xf numFmtId="0" fontId="0" fillId="3" borderId="0" xfId="0" applyFill="1"/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D04E-E2AF-416B-BCFE-B2CDB2455D0C}">
  <dimension ref="A1:I15"/>
  <sheetViews>
    <sheetView topLeftCell="C1" workbookViewId="0">
      <selection activeCell="C2" sqref="C2:I8"/>
    </sheetView>
  </sheetViews>
  <sheetFormatPr defaultRowHeight="14.4" x14ac:dyDescent="0.3"/>
  <cols>
    <col min="6" max="6" width="9.33203125" bestFit="1" customWidth="1"/>
    <col min="9" max="9" width="46.109375" bestFit="1" customWidth="1"/>
    <col min="10" max="10" width="14.88671875" customWidth="1"/>
  </cols>
  <sheetData>
    <row r="1" spans="1:9" ht="15" thickBot="1" x14ac:dyDescent="0.35">
      <c r="A1" s="5"/>
      <c r="B1" s="5"/>
      <c r="C1" s="5"/>
      <c r="D1" s="5"/>
    </row>
    <row r="2" spans="1:9" ht="28.2" thickBot="1" x14ac:dyDescent="0.35">
      <c r="B2" s="1" t="s">
        <v>0</v>
      </c>
      <c r="C2" s="6" t="s">
        <v>1</v>
      </c>
      <c r="D2" s="1"/>
      <c r="E2" s="1"/>
      <c r="F2" s="6" t="s">
        <v>1</v>
      </c>
    </row>
    <row r="3" spans="1:9" ht="15" thickBot="1" x14ac:dyDescent="0.35">
      <c r="B3" s="2">
        <v>850</v>
      </c>
      <c r="C3" s="7">
        <v>0.62</v>
      </c>
      <c r="D3" s="2"/>
      <c r="E3" s="2"/>
      <c r="F3" s="7">
        <f>5.630682+0.001894</f>
        <v>5.6325760000000002</v>
      </c>
      <c r="G3" s="8">
        <f>F3/C3</f>
        <v>9.0848000000000013</v>
      </c>
      <c r="I3" t="s">
        <v>85</v>
      </c>
    </row>
    <row r="4" spans="1:9" ht="15" thickBot="1" x14ac:dyDescent="0.35">
      <c r="B4" s="2">
        <v>854</v>
      </c>
      <c r="C4" s="7">
        <v>2.1800000000000002</v>
      </c>
      <c r="D4" s="2"/>
      <c r="E4" s="2"/>
      <c r="F4" s="7">
        <v>11.75</v>
      </c>
      <c r="G4" s="8">
        <f>F4/C4</f>
        <v>5.3899082568807337</v>
      </c>
      <c r="I4" t="s">
        <v>80</v>
      </c>
    </row>
    <row r="5" spans="1:9" ht="15" thickBot="1" x14ac:dyDescent="0.35">
      <c r="B5" s="2">
        <v>822</v>
      </c>
      <c r="C5" s="7">
        <v>3</v>
      </c>
      <c r="D5" s="2"/>
      <c r="E5" s="2"/>
      <c r="F5" s="7">
        <v>17.739999999999998</v>
      </c>
      <c r="G5" s="8">
        <f>F5/C5</f>
        <v>5.9133333333333331</v>
      </c>
      <c r="I5" t="s">
        <v>81</v>
      </c>
    </row>
    <row r="6" spans="1:9" ht="15" thickBot="1" x14ac:dyDescent="0.35">
      <c r="B6" s="2">
        <v>834</v>
      </c>
      <c r="C6" s="7">
        <v>4.05</v>
      </c>
      <c r="D6" s="2"/>
      <c r="E6" s="2"/>
      <c r="F6" s="7">
        <v>20.76</v>
      </c>
      <c r="G6" s="8">
        <f>F6/C6</f>
        <v>5.1259259259259267</v>
      </c>
      <c r="I6" t="s">
        <v>82</v>
      </c>
    </row>
    <row r="7" spans="1:9" ht="15" thickBot="1" x14ac:dyDescent="0.35">
      <c r="B7" s="2">
        <v>840</v>
      </c>
      <c r="C7" s="7">
        <v>6.75</v>
      </c>
      <c r="D7" s="2"/>
      <c r="E7" s="2"/>
      <c r="F7" s="7">
        <v>21.82</v>
      </c>
      <c r="G7" s="8">
        <f>F7/C7</f>
        <v>3.2325925925925927</v>
      </c>
      <c r="I7" t="s">
        <v>83</v>
      </c>
    </row>
    <row r="8" spans="1:9" ht="15" thickBot="1" x14ac:dyDescent="0.35">
      <c r="B8" s="2">
        <v>848</v>
      </c>
      <c r="C8" s="7">
        <v>7.47</v>
      </c>
      <c r="D8" s="2"/>
      <c r="E8" s="2"/>
      <c r="F8" s="7">
        <v>21.86</v>
      </c>
      <c r="G8" s="8">
        <f>F8/C8</f>
        <v>2.9263721552878179</v>
      </c>
      <c r="I8" t="s">
        <v>84</v>
      </c>
    </row>
    <row r="15" spans="1:9" x14ac:dyDescent="0.3">
      <c r="B15" s="9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173A-FFE0-40E2-BEF6-62165BADD020}">
  <dimension ref="A1:Z33"/>
  <sheetViews>
    <sheetView topLeftCell="G1" zoomScale="85" zoomScaleNormal="85" workbookViewId="0">
      <selection activeCell="H1" sqref="H1:M34"/>
    </sheetView>
  </sheetViews>
  <sheetFormatPr defaultRowHeight="14.4" x14ac:dyDescent="0.3"/>
  <cols>
    <col min="1" max="7" width="12.5546875" customWidth="1"/>
    <col min="10" max="10" width="21.77734375" customWidth="1"/>
    <col min="17" max="17" width="51.88671875" bestFit="1" customWidth="1"/>
  </cols>
  <sheetData>
    <row r="1" spans="1:26" ht="28.2" thickBot="1" x14ac:dyDescent="0.35">
      <c r="A1" s="12"/>
      <c r="B1" s="12"/>
      <c r="C1" s="12"/>
      <c r="D1" s="12"/>
      <c r="E1" s="12"/>
      <c r="F1" s="12"/>
      <c r="G1" s="12"/>
      <c r="H1" s="10"/>
      <c r="I1" s="1"/>
      <c r="J1" s="1"/>
      <c r="K1" s="1"/>
      <c r="L1" s="1"/>
      <c r="M1" s="1"/>
      <c r="O1" s="1"/>
      <c r="P1" s="6"/>
      <c r="S1" s="1" t="s">
        <v>0</v>
      </c>
      <c r="T1" s="1" t="s">
        <v>1</v>
      </c>
      <c r="U1" s="4" t="s">
        <v>78</v>
      </c>
      <c r="X1" s="1"/>
      <c r="Y1" s="6"/>
    </row>
    <row r="2" spans="1:26" ht="15" thickBot="1" x14ac:dyDescent="0.35">
      <c r="A2" s="13"/>
      <c r="B2" s="13"/>
      <c r="C2" s="13"/>
      <c r="D2" s="13"/>
      <c r="E2" s="13"/>
      <c r="F2" s="13"/>
      <c r="G2" s="13"/>
      <c r="H2" s="11"/>
      <c r="I2" s="2"/>
      <c r="J2" s="2"/>
      <c r="K2" s="2"/>
      <c r="L2" s="2"/>
      <c r="M2" s="2"/>
      <c r="O2" s="2"/>
      <c r="P2" s="7"/>
      <c r="S2" s="2">
        <v>850</v>
      </c>
      <c r="T2" s="2">
        <v>0.62</v>
      </c>
      <c r="U2">
        <f>O7+O8</f>
        <v>0</v>
      </c>
      <c r="X2" s="2"/>
      <c r="Y2" s="7"/>
      <c r="Z2" t="s">
        <v>85</v>
      </c>
    </row>
    <row r="3" spans="1:26" ht="15" thickBot="1" x14ac:dyDescent="0.35">
      <c r="A3" s="13"/>
      <c r="B3" s="13"/>
      <c r="C3" s="13"/>
      <c r="D3" s="13"/>
      <c r="E3" s="13"/>
      <c r="F3" s="13"/>
      <c r="G3" s="13" t="s">
        <v>86</v>
      </c>
      <c r="H3" s="11"/>
      <c r="I3" s="2"/>
      <c r="J3" s="2"/>
      <c r="K3" s="2"/>
      <c r="L3" s="2"/>
      <c r="M3" s="2"/>
      <c r="O3" s="2"/>
      <c r="P3" s="7"/>
      <c r="S3" s="2">
        <v>854</v>
      </c>
      <c r="T3" s="2">
        <v>2.1800000000000002</v>
      </c>
      <c r="U3">
        <f ca="1">O7+J1:Z33</f>
        <v>0</v>
      </c>
      <c r="X3" s="2"/>
      <c r="Y3" s="7"/>
      <c r="Z3" t="s">
        <v>80</v>
      </c>
    </row>
    <row r="4" spans="1:26" ht="15" thickBot="1" x14ac:dyDescent="0.35">
      <c r="A4" s="13"/>
      <c r="B4" s="13"/>
      <c r="C4" s="13"/>
      <c r="D4" s="13"/>
      <c r="E4" s="13"/>
      <c r="F4" s="13"/>
      <c r="G4" s="13"/>
      <c r="H4" s="11"/>
      <c r="I4" s="2"/>
      <c r="J4" s="2"/>
      <c r="K4" s="2"/>
      <c r="L4" s="2"/>
      <c r="M4" s="2"/>
      <c r="O4" s="2"/>
      <c r="P4" s="7"/>
      <c r="S4" s="2">
        <v>822</v>
      </c>
      <c r="T4" s="2">
        <v>3</v>
      </c>
      <c r="X4" s="2"/>
      <c r="Y4" s="7"/>
      <c r="Z4" t="s">
        <v>81</v>
      </c>
    </row>
    <row r="5" spans="1:26" ht="15" thickBot="1" x14ac:dyDescent="0.35">
      <c r="A5" s="13"/>
      <c r="B5" s="13"/>
      <c r="C5" s="13"/>
      <c r="D5" s="13"/>
      <c r="E5" s="13"/>
      <c r="F5" s="13"/>
      <c r="G5" s="13"/>
      <c r="H5" s="11"/>
      <c r="I5" s="2"/>
      <c r="J5" s="2"/>
      <c r="K5" s="2"/>
      <c r="L5" s="2"/>
      <c r="M5" s="2"/>
      <c r="O5" s="2"/>
      <c r="P5" s="7"/>
      <c r="S5" s="2">
        <v>834</v>
      </c>
      <c r="T5" s="2">
        <v>4.05</v>
      </c>
      <c r="X5" s="2"/>
      <c r="Y5" s="7"/>
      <c r="Z5" t="s">
        <v>82</v>
      </c>
    </row>
    <row r="6" spans="1:26" ht="15" thickBot="1" x14ac:dyDescent="0.35">
      <c r="A6" s="13"/>
      <c r="B6" s="13"/>
      <c r="C6" s="13"/>
      <c r="D6" s="13"/>
      <c r="E6" s="13"/>
      <c r="F6" s="13"/>
      <c r="G6" s="13"/>
      <c r="H6" s="11"/>
      <c r="I6" s="2"/>
      <c r="J6" s="2"/>
      <c r="K6" s="2"/>
      <c r="L6" s="2"/>
      <c r="M6" s="2"/>
      <c r="O6" s="2"/>
      <c r="P6" s="7"/>
      <c r="S6" s="2">
        <v>840</v>
      </c>
      <c r="T6" s="2">
        <v>6.75</v>
      </c>
      <c r="X6" s="2"/>
      <c r="Y6" s="7"/>
      <c r="Z6" t="s">
        <v>83</v>
      </c>
    </row>
    <row r="7" spans="1:26" ht="15" thickBot="1" x14ac:dyDescent="0.35">
      <c r="A7" s="13"/>
      <c r="B7" s="13"/>
      <c r="C7" s="13"/>
      <c r="D7" s="13"/>
      <c r="E7" s="13"/>
      <c r="F7" s="13"/>
      <c r="G7" s="13"/>
      <c r="H7" s="11"/>
      <c r="I7" s="2"/>
      <c r="J7" s="2"/>
      <c r="K7" s="2"/>
      <c r="L7" s="2"/>
      <c r="M7" s="2"/>
      <c r="O7" s="2"/>
      <c r="P7" s="7"/>
      <c r="S7" s="2">
        <v>848</v>
      </c>
      <c r="T7" s="2">
        <v>7.47</v>
      </c>
      <c r="X7" s="2"/>
      <c r="Y7" s="7"/>
      <c r="Z7" t="s">
        <v>84</v>
      </c>
    </row>
    <row r="8" spans="1:26" ht="15" thickBot="1" x14ac:dyDescent="0.35">
      <c r="A8" s="13"/>
      <c r="B8" s="13"/>
      <c r="C8" s="13"/>
      <c r="D8" s="13"/>
      <c r="E8" s="13"/>
      <c r="F8" s="13"/>
      <c r="G8" s="13"/>
      <c r="H8" s="11"/>
      <c r="I8" s="2"/>
      <c r="J8" s="2"/>
      <c r="K8" s="2"/>
      <c r="L8" s="2"/>
      <c r="M8" s="2"/>
    </row>
    <row r="9" spans="1:26" ht="15" thickBot="1" x14ac:dyDescent="0.35">
      <c r="A9" s="13"/>
      <c r="B9" s="13"/>
      <c r="C9" s="13"/>
      <c r="D9" s="13"/>
      <c r="E9" s="13"/>
      <c r="F9" s="13"/>
      <c r="G9" s="13"/>
      <c r="H9" s="11"/>
      <c r="I9" s="2"/>
      <c r="J9" s="2"/>
      <c r="K9" s="2"/>
      <c r="L9" s="2"/>
      <c r="M9" s="2"/>
    </row>
    <row r="10" spans="1:26" ht="15" thickBot="1" x14ac:dyDescent="0.35">
      <c r="A10" s="13"/>
      <c r="B10" s="13"/>
      <c r="C10" s="13"/>
      <c r="D10" s="13"/>
      <c r="E10" s="13"/>
      <c r="F10" s="13"/>
      <c r="G10" s="13"/>
      <c r="H10" s="11"/>
      <c r="I10" s="2"/>
      <c r="J10" s="2"/>
      <c r="K10" s="2"/>
      <c r="L10" s="2"/>
      <c r="M10" s="2"/>
      <c r="S10" t="s">
        <v>79</v>
      </c>
      <c r="T10">
        <f>SUM(O2:O33)</f>
        <v>0</v>
      </c>
      <c r="U10">
        <v>9.5299999999999994</v>
      </c>
    </row>
    <row r="11" spans="1:26" ht="15" thickBot="1" x14ac:dyDescent="0.35">
      <c r="A11" s="13"/>
      <c r="B11" s="13"/>
      <c r="C11" s="13"/>
      <c r="D11" s="13"/>
      <c r="E11" s="13"/>
      <c r="F11" s="13"/>
      <c r="G11" s="13"/>
      <c r="H11" s="11"/>
      <c r="I11" s="2"/>
      <c r="J11" s="2"/>
      <c r="K11" s="2"/>
      <c r="L11" s="2"/>
      <c r="M11" s="2"/>
    </row>
    <row r="12" spans="1:26" ht="15" thickBot="1" x14ac:dyDescent="0.35">
      <c r="A12" s="13"/>
      <c r="B12" s="13"/>
      <c r="C12" s="13"/>
      <c r="D12" s="13"/>
      <c r="E12" s="13"/>
      <c r="F12" s="13"/>
      <c r="G12" s="13"/>
      <c r="H12" s="11"/>
      <c r="I12" s="2"/>
      <c r="J12" s="2"/>
      <c r="K12" s="2"/>
      <c r="L12" s="2"/>
      <c r="M12" s="2"/>
    </row>
    <row r="13" spans="1:26" ht="15" thickBot="1" x14ac:dyDescent="0.35">
      <c r="A13" s="13"/>
      <c r="B13" s="13"/>
      <c r="C13" s="13"/>
      <c r="D13" s="13"/>
      <c r="E13" s="13"/>
      <c r="F13" s="13"/>
      <c r="G13" s="13"/>
      <c r="H13" s="11"/>
      <c r="I13" s="2"/>
      <c r="J13" s="2"/>
      <c r="K13" s="2"/>
      <c r="L13" s="2"/>
      <c r="M13" s="2"/>
    </row>
    <row r="14" spans="1:26" ht="15" thickBot="1" x14ac:dyDescent="0.35">
      <c r="A14" s="13"/>
      <c r="B14" s="13"/>
      <c r="C14" s="13"/>
      <c r="D14" s="13"/>
      <c r="E14" s="13"/>
      <c r="F14" s="13"/>
      <c r="G14" s="13"/>
      <c r="H14" s="11"/>
      <c r="I14" s="2"/>
      <c r="J14" s="2"/>
      <c r="K14" s="2"/>
      <c r="L14" s="2"/>
      <c r="M14" s="2"/>
    </row>
    <row r="15" spans="1:26" ht="15" thickBot="1" x14ac:dyDescent="0.35">
      <c r="A15" s="13"/>
      <c r="B15" s="13"/>
      <c r="C15" s="13"/>
      <c r="D15" s="13"/>
      <c r="E15" s="13"/>
      <c r="F15" s="13"/>
      <c r="G15" s="13"/>
      <c r="H15" s="11"/>
      <c r="I15" s="2"/>
      <c r="J15" s="2"/>
      <c r="K15" s="2"/>
      <c r="L15" s="2"/>
      <c r="M15" s="2"/>
    </row>
    <row r="16" spans="1:26" ht="15" thickBot="1" x14ac:dyDescent="0.35">
      <c r="A16" s="13"/>
      <c r="B16" s="13"/>
      <c r="C16" s="13"/>
      <c r="D16" s="13"/>
      <c r="E16" s="13"/>
      <c r="F16" s="13"/>
      <c r="G16" s="13"/>
      <c r="H16" s="11"/>
      <c r="I16" s="2"/>
      <c r="J16" s="2"/>
      <c r="K16" s="2"/>
      <c r="L16" s="2"/>
      <c r="M16" s="2"/>
    </row>
    <row r="17" spans="1:13" ht="15" thickBot="1" x14ac:dyDescent="0.35">
      <c r="A17" s="13"/>
      <c r="B17" s="13"/>
      <c r="C17" s="13"/>
      <c r="D17" s="13"/>
      <c r="E17" s="13"/>
      <c r="F17" s="13"/>
      <c r="G17" s="13"/>
      <c r="H17" s="11"/>
      <c r="I17" s="2"/>
      <c r="J17" s="2"/>
      <c r="K17" s="2"/>
      <c r="L17" s="2"/>
      <c r="M17" s="2"/>
    </row>
    <row r="18" spans="1:13" ht="15" thickBot="1" x14ac:dyDescent="0.35">
      <c r="A18" s="13"/>
      <c r="B18" s="13"/>
      <c r="C18" s="13"/>
      <c r="D18" s="13"/>
      <c r="E18" s="13"/>
      <c r="F18" s="13"/>
      <c r="G18" s="13"/>
      <c r="H18" s="11"/>
      <c r="I18" s="2"/>
      <c r="J18" s="2"/>
      <c r="K18" s="2"/>
      <c r="L18" s="2"/>
      <c r="M18" s="2"/>
    </row>
    <row r="19" spans="1:13" ht="15" thickBot="1" x14ac:dyDescent="0.35">
      <c r="A19" s="13"/>
      <c r="B19" s="13"/>
      <c r="C19" s="13"/>
      <c r="D19" s="13"/>
      <c r="E19" s="13"/>
      <c r="F19" s="13"/>
      <c r="G19" s="13"/>
      <c r="H19" s="11"/>
      <c r="I19" s="2"/>
      <c r="J19" s="2"/>
      <c r="K19" s="2"/>
      <c r="L19" s="2"/>
      <c r="M19" s="2"/>
    </row>
    <row r="20" spans="1:13" ht="15" thickBot="1" x14ac:dyDescent="0.35">
      <c r="A20" s="13"/>
      <c r="B20" s="13"/>
      <c r="C20" s="13"/>
      <c r="D20" s="13"/>
      <c r="E20" s="13"/>
      <c r="F20" s="13"/>
      <c r="G20" s="13"/>
      <c r="H20" s="11"/>
      <c r="I20" s="2"/>
      <c r="J20" s="2"/>
      <c r="K20" s="2"/>
      <c r="L20" s="2"/>
      <c r="M20" s="2"/>
    </row>
    <row r="21" spans="1:13" ht="15" thickBot="1" x14ac:dyDescent="0.35">
      <c r="A21" s="13"/>
      <c r="B21" s="13"/>
      <c r="C21" s="13"/>
      <c r="D21" s="13"/>
      <c r="E21" s="13"/>
      <c r="F21" s="13"/>
      <c r="G21" s="13"/>
      <c r="H21" s="11"/>
      <c r="I21" s="2"/>
      <c r="J21" s="2"/>
      <c r="K21" s="2"/>
      <c r="L21" s="2"/>
      <c r="M21" s="2"/>
    </row>
    <row r="22" spans="1:13" ht="15" thickBot="1" x14ac:dyDescent="0.35">
      <c r="A22" s="13"/>
      <c r="B22" s="13"/>
      <c r="C22" s="13"/>
      <c r="D22" s="13"/>
      <c r="E22" s="13"/>
      <c r="F22" s="13"/>
      <c r="G22" s="13"/>
      <c r="H22" s="11"/>
      <c r="I22" s="2"/>
      <c r="J22" s="2"/>
      <c r="K22" s="2"/>
      <c r="L22" s="2"/>
      <c r="M22" s="2"/>
    </row>
    <row r="23" spans="1:13" ht="15" thickBot="1" x14ac:dyDescent="0.35">
      <c r="A23" s="13"/>
      <c r="B23" s="13"/>
      <c r="C23" s="13"/>
      <c r="D23" s="13"/>
      <c r="E23" s="13"/>
      <c r="F23" s="13"/>
      <c r="G23" s="13"/>
      <c r="H23" s="11"/>
      <c r="I23" s="2"/>
      <c r="J23" s="2"/>
      <c r="K23" s="2"/>
      <c r="L23" s="2"/>
      <c r="M23" s="2"/>
    </row>
    <row r="24" spans="1:13" ht="15" thickBot="1" x14ac:dyDescent="0.35">
      <c r="A24" s="13"/>
      <c r="B24" s="13"/>
      <c r="C24" s="13"/>
      <c r="D24" s="13"/>
      <c r="E24" s="13"/>
      <c r="F24" s="13"/>
      <c r="G24" s="13"/>
      <c r="H24" s="11"/>
      <c r="I24" s="2"/>
      <c r="J24" s="2"/>
      <c r="K24" s="2"/>
      <c r="L24" s="2"/>
      <c r="M24" s="2"/>
    </row>
    <row r="25" spans="1:13" ht="15" thickBot="1" x14ac:dyDescent="0.35">
      <c r="A25" s="13"/>
      <c r="B25" s="13"/>
      <c r="C25" s="13"/>
      <c r="D25" s="13"/>
      <c r="E25" s="13"/>
      <c r="F25" s="13"/>
      <c r="G25" s="13"/>
      <c r="H25" s="11"/>
      <c r="I25" s="2"/>
      <c r="J25" s="2"/>
      <c r="K25" s="2"/>
      <c r="L25" s="2"/>
      <c r="M25" s="2"/>
    </row>
    <row r="26" spans="1:13" ht="15" thickBot="1" x14ac:dyDescent="0.35">
      <c r="A26" s="13"/>
      <c r="B26" s="13"/>
      <c r="C26" s="13"/>
      <c r="D26" s="13"/>
      <c r="E26" s="13"/>
      <c r="F26" s="13"/>
      <c r="G26" s="13"/>
      <c r="H26" s="11"/>
      <c r="I26" s="2"/>
      <c r="J26" s="2"/>
      <c r="K26" s="2"/>
      <c r="L26" s="2"/>
      <c r="M26" s="2"/>
    </row>
    <row r="27" spans="1:13" ht="15" thickBot="1" x14ac:dyDescent="0.35">
      <c r="A27" s="13"/>
      <c r="B27" s="13"/>
      <c r="C27" s="13"/>
      <c r="D27" s="13"/>
      <c r="E27" s="13"/>
      <c r="F27" s="13"/>
      <c r="G27" s="13"/>
      <c r="H27" s="11"/>
      <c r="I27" s="2"/>
      <c r="J27" s="2"/>
      <c r="K27" s="2"/>
      <c r="L27" s="2"/>
      <c r="M27" s="2"/>
    </row>
    <row r="28" spans="1:13" ht="15" thickBot="1" x14ac:dyDescent="0.35">
      <c r="A28" s="13"/>
      <c r="B28" s="13"/>
      <c r="C28" s="13"/>
      <c r="D28" s="13"/>
      <c r="E28" s="13"/>
      <c r="F28" s="13"/>
      <c r="G28" s="13"/>
      <c r="H28" s="11"/>
      <c r="I28" s="2"/>
      <c r="J28" s="2"/>
      <c r="K28" s="2"/>
      <c r="L28" s="2"/>
      <c r="M28" s="2"/>
    </row>
    <row r="29" spans="1:13" ht="15" thickBot="1" x14ac:dyDescent="0.35">
      <c r="A29" s="13"/>
      <c r="B29" s="13"/>
      <c r="C29" s="13"/>
      <c r="D29" s="13"/>
      <c r="E29" s="13"/>
      <c r="F29" s="13"/>
      <c r="G29" s="13"/>
      <c r="H29" s="11"/>
      <c r="I29" s="2"/>
      <c r="J29" s="2"/>
      <c r="K29" s="2"/>
      <c r="L29" s="2"/>
      <c r="M29" s="2"/>
    </row>
    <row r="30" spans="1:13" ht="15" thickBot="1" x14ac:dyDescent="0.35">
      <c r="A30" s="13"/>
      <c r="B30" s="13"/>
      <c r="C30" s="13"/>
      <c r="D30" s="13"/>
      <c r="E30" s="13"/>
      <c r="F30" s="13"/>
      <c r="G30" s="13"/>
      <c r="H30" s="11"/>
      <c r="I30" s="2"/>
      <c r="J30" s="2"/>
      <c r="K30" s="2"/>
      <c r="L30" s="2"/>
      <c r="M30" s="2"/>
    </row>
    <row r="31" spans="1:13" ht="15" thickBot="1" x14ac:dyDescent="0.35">
      <c r="A31" s="13"/>
      <c r="B31" s="13"/>
      <c r="C31" s="13"/>
      <c r="D31" s="13"/>
      <c r="E31" s="13"/>
      <c r="F31" s="13"/>
      <c r="G31" s="13"/>
      <c r="H31" s="11"/>
      <c r="I31" s="2"/>
      <c r="J31" s="2"/>
      <c r="K31" s="2"/>
      <c r="L31" s="2"/>
      <c r="M31" s="2"/>
    </row>
    <row r="32" spans="1:13" ht="15" thickBot="1" x14ac:dyDescent="0.35">
      <c r="A32" s="13"/>
      <c r="B32" s="13"/>
      <c r="C32" s="13"/>
      <c r="D32" s="13"/>
      <c r="E32" s="13"/>
      <c r="F32" s="13"/>
      <c r="G32" s="13"/>
      <c r="H32" s="11"/>
      <c r="I32" s="2"/>
      <c r="J32" s="2"/>
      <c r="K32" s="2"/>
      <c r="L32" s="2"/>
      <c r="M32" s="2"/>
    </row>
    <row r="33" spans="1:13" ht="15" thickBot="1" x14ac:dyDescent="0.35">
      <c r="A33" s="13"/>
      <c r="B33" s="13"/>
      <c r="C33" s="13"/>
      <c r="D33" s="13"/>
      <c r="E33" s="13"/>
      <c r="F33" s="13"/>
      <c r="G33" s="13"/>
      <c r="H33" s="11"/>
      <c r="I33" s="2"/>
      <c r="J33" s="2"/>
      <c r="K33" s="2"/>
      <c r="L33" s="2"/>
      <c r="M3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4A14-5A72-4E95-9D92-8DD6B8C7DD32}">
  <dimension ref="G1:M33"/>
  <sheetViews>
    <sheetView topLeftCell="A7" workbookViewId="0">
      <selection activeCell="G1" sqref="G1:M33"/>
    </sheetView>
  </sheetViews>
  <sheetFormatPr defaultRowHeight="14.4" x14ac:dyDescent="0.3"/>
  <sheetData>
    <row r="1" spans="7:13" ht="42" thickBot="1" x14ac:dyDescent="0.35">
      <c r="G1" s="1" t="s">
        <v>34</v>
      </c>
      <c r="H1" s="1" t="s">
        <v>35</v>
      </c>
      <c r="I1" s="1" t="s">
        <v>87</v>
      </c>
      <c r="J1" s="1" t="s">
        <v>88</v>
      </c>
      <c r="K1" s="1" t="s">
        <v>36</v>
      </c>
      <c r="L1" s="1" t="s">
        <v>89</v>
      </c>
      <c r="M1" s="1" t="s">
        <v>37</v>
      </c>
    </row>
    <row r="2" spans="7:13" ht="28.2" thickBot="1" x14ac:dyDescent="0.35">
      <c r="G2" s="1" t="s">
        <v>38</v>
      </c>
      <c r="H2" s="2">
        <v>3</v>
      </c>
      <c r="I2" s="2" t="s">
        <v>39</v>
      </c>
      <c r="J2" s="2" t="s">
        <v>40</v>
      </c>
      <c r="K2" s="2">
        <v>300</v>
      </c>
      <c r="L2" s="2">
        <v>0.48863600000000001</v>
      </c>
      <c r="M2" s="2" t="s">
        <v>41</v>
      </c>
    </row>
    <row r="3" spans="7:13" ht="28.2" thickBot="1" x14ac:dyDescent="0.35">
      <c r="G3" s="1" t="s">
        <v>42</v>
      </c>
      <c r="H3" s="2">
        <v>3</v>
      </c>
      <c r="I3" s="2" t="s">
        <v>40</v>
      </c>
      <c r="J3" s="2" t="s">
        <v>43</v>
      </c>
      <c r="K3" s="2">
        <v>300</v>
      </c>
      <c r="L3" s="2">
        <v>0.327652</v>
      </c>
      <c r="M3" s="2" t="s">
        <v>41</v>
      </c>
    </row>
    <row r="4" spans="7:13" ht="28.2" thickBot="1" x14ac:dyDescent="0.35">
      <c r="G4" s="1" t="s">
        <v>44</v>
      </c>
      <c r="H4" s="2">
        <v>3</v>
      </c>
      <c r="I4" s="2" t="s">
        <v>43</v>
      </c>
      <c r="J4" s="2" t="s">
        <v>45</v>
      </c>
      <c r="K4" s="2">
        <v>300</v>
      </c>
      <c r="L4" s="2">
        <v>0.5</v>
      </c>
      <c r="M4" s="2" t="s">
        <v>41</v>
      </c>
    </row>
    <row r="5" spans="7:13" ht="15" thickBot="1" x14ac:dyDescent="0.35">
      <c r="G5" s="1" t="s">
        <v>46</v>
      </c>
      <c r="H5" s="2">
        <v>1</v>
      </c>
      <c r="I5" s="2">
        <v>808.2</v>
      </c>
      <c r="J5" s="2">
        <v>810.2</v>
      </c>
      <c r="K5" s="2">
        <v>303</v>
      </c>
      <c r="L5" s="2">
        <v>1.0992420000000001</v>
      </c>
      <c r="M5" s="2" t="s">
        <v>41</v>
      </c>
    </row>
    <row r="6" spans="7:13" ht="28.2" thickBot="1" x14ac:dyDescent="0.35">
      <c r="G6" s="1" t="s">
        <v>47</v>
      </c>
      <c r="H6" s="2">
        <v>3</v>
      </c>
      <c r="I6" s="2" t="s">
        <v>45</v>
      </c>
      <c r="J6" s="2" t="s">
        <v>48</v>
      </c>
      <c r="K6" s="2">
        <v>300</v>
      </c>
      <c r="L6" s="2">
        <v>0.9</v>
      </c>
      <c r="M6" s="2" t="s">
        <v>41</v>
      </c>
    </row>
    <row r="7" spans="7:13" ht="28.2" thickBot="1" x14ac:dyDescent="0.35">
      <c r="G7" s="1" t="s">
        <v>7</v>
      </c>
      <c r="H7" s="2">
        <v>3</v>
      </c>
      <c r="I7" s="2" t="s">
        <v>48</v>
      </c>
      <c r="J7" s="2" t="s">
        <v>49</v>
      </c>
      <c r="K7" s="2">
        <v>300</v>
      </c>
      <c r="L7" s="2">
        <v>2.3422999999999998</v>
      </c>
      <c r="M7" s="2" t="s">
        <v>41</v>
      </c>
    </row>
    <row r="8" spans="7:13" ht="28.2" thickBot="1" x14ac:dyDescent="0.35">
      <c r="G8" s="1" t="s">
        <v>8</v>
      </c>
      <c r="H8" s="2">
        <v>3</v>
      </c>
      <c r="I8" s="2" t="s">
        <v>50</v>
      </c>
      <c r="J8" s="2" t="s">
        <v>51</v>
      </c>
      <c r="K8" s="2">
        <v>301</v>
      </c>
      <c r="L8" s="2">
        <v>0.14893000000000001</v>
      </c>
      <c r="M8" s="2" t="s">
        <v>41</v>
      </c>
    </row>
    <row r="9" spans="7:13" ht="15" thickBot="1" x14ac:dyDescent="0.35">
      <c r="G9" s="1" t="s">
        <v>15</v>
      </c>
      <c r="H9" s="2">
        <v>1</v>
      </c>
      <c r="I9" s="2">
        <v>816.1</v>
      </c>
      <c r="J9" s="2">
        <v>818.1</v>
      </c>
      <c r="K9" s="2">
        <v>302</v>
      </c>
      <c r="L9" s="2">
        <v>0.14893000000000001</v>
      </c>
      <c r="M9" s="2" t="s">
        <v>41</v>
      </c>
    </row>
    <row r="10" spans="7:13" ht="28.2" thickBot="1" x14ac:dyDescent="0.35">
      <c r="G10" s="1" t="s">
        <v>11</v>
      </c>
      <c r="H10" s="2">
        <v>3</v>
      </c>
      <c r="I10" s="2" t="s">
        <v>52</v>
      </c>
      <c r="J10" s="2" t="s">
        <v>53</v>
      </c>
      <c r="K10" s="2">
        <v>301</v>
      </c>
      <c r="L10" s="2">
        <v>0.14893000000000001</v>
      </c>
      <c r="M10" s="2" t="s">
        <v>41</v>
      </c>
    </row>
    <row r="11" spans="7:13" ht="15" thickBot="1" x14ac:dyDescent="0.35">
      <c r="G11" s="1" t="s">
        <v>16</v>
      </c>
      <c r="H11" s="2">
        <v>1</v>
      </c>
      <c r="I11" s="2">
        <v>818.1</v>
      </c>
      <c r="J11" s="2">
        <v>820.1</v>
      </c>
      <c r="K11" s="2">
        <v>302</v>
      </c>
      <c r="L11" s="2">
        <v>0.14893000000000001</v>
      </c>
      <c r="M11" s="2" t="s">
        <v>41</v>
      </c>
    </row>
    <row r="12" spans="7:13" ht="15" thickBot="1" x14ac:dyDescent="0.35">
      <c r="G12" s="1" t="s">
        <v>17</v>
      </c>
      <c r="H12" s="2">
        <v>1</v>
      </c>
      <c r="I12" s="2">
        <v>820.1</v>
      </c>
      <c r="J12" s="2">
        <v>822.1</v>
      </c>
      <c r="K12" s="2">
        <v>302</v>
      </c>
      <c r="L12" s="2">
        <v>0.14893000000000001</v>
      </c>
      <c r="M12" s="2" t="s">
        <v>41</v>
      </c>
    </row>
    <row r="13" spans="7:13" ht="15" thickBot="1" x14ac:dyDescent="0.35">
      <c r="G13" s="1" t="s">
        <v>54</v>
      </c>
      <c r="H13" s="2">
        <v>1</v>
      </c>
      <c r="I13" s="2">
        <v>824.2</v>
      </c>
      <c r="J13" s="2">
        <v>826.2</v>
      </c>
      <c r="K13" s="2">
        <v>303</v>
      </c>
      <c r="L13" s="2">
        <v>0.14893000000000001</v>
      </c>
      <c r="M13" s="2" t="s">
        <v>41</v>
      </c>
    </row>
    <row r="14" spans="7:13" ht="28.2" thickBot="1" x14ac:dyDescent="0.35">
      <c r="G14" s="1" t="s">
        <v>12</v>
      </c>
      <c r="H14" s="2">
        <v>3</v>
      </c>
      <c r="I14" s="2" t="s">
        <v>53</v>
      </c>
      <c r="J14" s="2" t="s">
        <v>55</v>
      </c>
      <c r="K14" s="2">
        <v>301</v>
      </c>
      <c r="L14" s="2">
        <v>0.14893000000000001</v>
      </c>
      <c r="M14" s="2" t="s">
        <v>41</v>
      </c>
    </row>
    <row r="15" spans="7:13" ht="28.2" thickBot="1" x14ac:dyDescent="0.35">
      <c r="G15" s="1" t="s">
        <v>13</v>
      </c>
      <c r="H15" s="2">
        <v>3</v>
      </c>
      <c r="I15" s="2" t="s">
        <v>55</v>
      </c>
      <c r="J15" s="2" t="s">
        <v>56</v>
      </c>
      <c r="K15" s="2">
        <v>301</v>
      </c>
      <c r="L15" s="2">
        <v>0.14893000000000001</v>
      </c>
      <c r="M15" s="2" t="s">
        <v>41</v>
      </c>
    </row>
    <row r="16" spans="7:13" ht="28.2" thickBot="1" x14ac:dyDescent="0.35">
      <c r="G16" s="1" t="s">
        <v>14</v>
      </c>
      <c r="H16" s="2">
        <v>3</v>
      </c>
      <c r="I16" s="2" t="s">
        <v>56</v>
      </c>
      <c r="J16" s="2" t="s">
        <v>57</v>
      </c>
      <c r="K16" s="2">
        <v>301</v>
      </c>
      <c r="L16" s="2">
        <v>0.14893000000000001</v>
      </c>
      <c r="M16" s="2" t="s">
        <v>41</v>
      </c>
    </row>
    <row r="17" spans="7:13" ht="28.2" thickBot="1" x14ac:dyDescent="0.35">
      <c r="G17" s="1" t="s">
        <v>23</v>
      </c>
      <c r="H17" s="2">
        <v>3</v>
      </c>
      <c r="I17" s="2" t="s">
        <v>58</v>
      </c>
      <c r="J17" s="2" t="s">
        <v>59</v>
      </c>
      <c r="K17" s="2">
        <v>301</v>
      </c>
      <c r="L17" s="2">
        <v>0.14893000000000001</v>
      </c>
      <c r="M17" s="2" t="s">
        <v>41</v>
      </c>
    </row>
    <row r="18" spans="7:13" ht="28.2" thickBot="1" x14ac:dyDescent="0.35">
      <c r="G18" s="1" t="s">
        <v>27</v>
      </c>
      <c r="H18" s="2">
        <v>3</v>
      </c>
      <c r="I18" s="2" t="s">
        <v>60</v>
      </c>
      <c r="J18" s="2" t="s">
        <v>61</v>
      </c>
      <c r="K18" s="2">
        <v>301</v>
      </c>
      <c r="L18" s="2">
        <v>0.14893000000000001</v>
      </c>
      <c r="M18" s="2" t="s">
        <v>41</v>
      </c>
    </row>
    <row r="19" spans="7:13" ht="28.2" thickBot="1" x14ac:dyDescent="0.35">
      <c r="G19" s="1" t="s">
        <v>30</v>
      </c>
      <c r="H19" s="2">
        <v>3</v>
      </c>
      <c r="I19" s="2" t="s">
        <v>60</v>
      </c>
      <c r="J19" s="2" t="s">
        <v>62</v>
      </c>
      <c r="K19" s="2">
        <v>301</v>
      </c>
      <c r="L19" s="2">
        <v>0.14893000000000001</v>
      </c>
      <c r="M19" s="2" t="s">
        <v>41</v>
      </c>
    </row>
    <row r="20" spans="7:13" ht="28.2" thickBot="1" x14ac:dyDescent="0.35">
      <c r="G20" s="1" t="s">
        <v>29</v>
      </c>
      <c r="H20" s="2">
        <v>3</v>
      </c>
      <c r="I20" s="2" t="s">
        <v>63</v>
      </c>
      <c r="J20" s="2" t="s">
        <v>64</v>
      </c>
      <c r="K20" s="2">
        <v>301</v>
      </c>
      <c r="L20" s="2">
        <v>0.14893000000000001</v>
      </c>
      <c r="M20" s="2" t="s">
        <v>41</v>
      </c>
    </row>
    <row r="21" spans="7:13" ht="28.2" thickBot="1" x14ac:dyDescent="0.35">
      <c r="G21" s="1" t="s">
        <v>65</v>
      </c>
      <c r="H21" s="2">
        <v>3</v>
      </c>
      <c r="I21" s="2" t="s">
        <v>63</v>
      </c>
      <c r="J21" s="2" t="s">
        <v>66</v>
      </c>
      <c r="K21" s="2">
        <v>301</v>
      </c>
      <c r="L21" s="2">
        <v>0.14893000000000001</v>
      </c>
      <c r="M21" s="2" t="s">
        <v>41</v>
      </c>
    </row>
    <row r="22" spans="7:13" ht="28.2" thickBot="1" x14ac:dyDescent="0.35">
      <c r="G22" s="1" t="s">
        <v>31</v>
      </c>
      <c r="H22" s="2">
        <v>3</v>
      </c>
      <c r="I22" s="2" t="s">
        <v>62</v>
      </c>
      <c r="J22" s="2" t="s">
        <v>67</v>
      </c>
      <c r="K22" s="2">
        <v>301</v>
      </c>
      <c r="L22" s="2">
        <v>0.14893000000000001</v>
      </c>
      <c r="M22" s="2" t="s">
        <v>41</v>
      </c>
    </row>
    <row r="23" spans="7:13" ht="28.2" thickBot="1" x14ac:dyDescent="0.35">
      <c r="G23" s="1" t="s">
        <v>32</v>
      </c>
      <c r="H23" s="2">
        <v>3</v>
      </c>
      <c r="I23" s="2" t="s">
        <v>67</v>
      </c>
      <c r="J23" s="2" t="s">
        <v>68</v>
      </c>
      <c r="K23" s="2">
        <v>301</v>
      </c>
      <c r="L23" s="2">
        <v>0.14893000000000001</v>
      </c>
      <c r="M23" s="2" t="s">
        <v>41</v>
      </c>
    </row>
    <row r="24" spans="7:13" ht="28.2" thickBot="1" x14ac:dyDescent="0.35">
      <c r="G24" s="1" t="s">
        <v>33</v>
      </c>
      <c r="H24" s="2">
        <v>3</v>
      </c>
      <c r="I24" s="2" t="s">
        <v>68</v>
      </c>
      <c r="J24" s="2" t="s">
        <v>69</v>
      </c>
      <c r="K24" s="2">
        <v>301</v>
      </c>
      <c r="L24" s="2">
        <v>0.14893000000000001</v>
      </c>
      <c r="M24" s="2" t="s">
        <v>41</v>
      </c>
    </row>
    <row r="25" spans="7:13" ht="28.2" thickBot="1" x14ac:dyDescent="0.35">
      <c r="G25" s="1" t="s">
        <v>10</v>
      </c>
      <c r="H25" s="2">
        <v>3</v>
      </c>
      <c r="I25" s="2" t="s">
        <v>51</v>
      </c>
      <c r="J25" s="2" t="s">
        <v>52</v>
      </c>
      <c r="K25" s="2">
        <v>301</v>
      </c>
      <c r="L25" s="2">
        <v>0.14893000000000001</v>
      </c>
      <c r="M25" s="2" t="s">
        <v>41</v>
      </c>
    </row>
    <row r="26" spans="7:13" ht="28.2" thickBot="1" x14ac:dyDescent="0.35">
      <c r="G26" s="1" t="s">
        <v>21</v>
      </c>
      <c r="H26" s="2">
        <v>3</v>
      </c>
      <c r="I26" s="2" t="s">
        <v>70</v>
      </c>
      <c r="J26" s="2" t="s">
        <v>58</v>
      </c>
      <c r="K26" s="2">
        <v>301</v>
      </c>
      <c r="L26" s="2">
        <v>0.14893000000000001</v>
      </c>
      <c r="M26" s="2" t="s">
        <v>41</v>
      </c>
    </row>
    <row r="27" spans="7:13" ht="15" thickBot="1" x14ac:dyDescent="0.35">
      <c r="G27" s="1" t="s">
        <v>71</v>
      </c>
      <c r="H27" s="2">
        <v>1</v>
      </c>
      <c r="I27" s="2">
        <v>854.2</v>
      </c>
      <c r="J27" s="2">
        <v>856.2</v>
      </c>
      <c r="K27" s="2">
        <v>303</v>
      </c>
      <c r="L27" s="2">
        <v>0.14893000000000001</v>
      </c>
      <c r="M27" s="2" t="s">
        <v>41</v>
      </c>
    </row>
    <row r="28" spans="7:13" ht="28.2" thickBot="1" x14ac:dyDescent="0.35">
      <c r="G28" s="1" t="s">
        <v>20</v>
      </c>
      <c r="H28" s="2">
        <v>3</v>
      </c>
      <c r="I28" s="2" t="s">
        <v>57</v>
      </c>
      <c r="J28" s="2" t="s">
        <v>72</v>
      </c>
      <c r="K28" s="2">
        <v>301</v>
      </c>
      <c r="L28" s="2">
        <v>0.14893000000000001</v>
      </c>
      <c r="M28" s="2" t="s">
        <v>41</v>
      </c>
    </row>
    <row r="29" spans="7:13" ht="15" thickBot="1" x14ac:dyDescent="0.35">
      <c r="G29" s="1" t="s">
        <v>73</v>
      </c>
      <c r="H29" s="2">
        <v>1</v>
      </c>
      <c r="I29" s="2">
        <v>858.1</v>
      </c>
      <c r="J29" s="2">
        <v>864.1</v>
      </c>
      <c r="K29" s="2">
        <v>303</v>
      </c>
      <c r="L29" s="2">
        <v>0.14893000000000001</v>
      </c>
      <c r="M29" s="2" t="s">
        <v>41</v>
      </c>
    </row>
    <row r="30" spans="7:13" ht="28.2" thickBot="1" x14ac:dyDescent="0.35">
      <c r="G30" s="1" t="s">
        <v>24</v>
      </c>
      <c r="H30" s="2">
        <v>3</v>
      </c>
      <c r="I30" s="2" t="s">
        <v>59</v>
      </c>
      <c r="J30" s="2" t="s">
        <v>60</v>
      </c>
      <c r="K30" s="2">
        <v>301</v>
      </c>
      <c r="L30" s="2">
        <v>0.14893000000000001</v>
      </c>
      <c r="M30" s="2" t="s">
        <v>41</v>
      </c>
    </row>
    <row r="31" spans="7:13" ht="28.2" thickBot="1" x14ac:dyDescent="0.35">
      <c r="G31" s="1" t="s">
        <v>28</v>
      </c>
      <c r="H31" s="2">
        <v>3</v>
      </c>
      <c r="I31" s="2" t="s">
        <v>61</v>
      </c>
      <c r="J31" s="2" t="s">
        <v>63</v>
      </c>
      <c r="K31" s="2">
        <v>301</v>
      </c>
      <c r="L31" s="2">
        <v>0.14893000000000001</v>
      </c>
      <c r="M31" s="2" t="s">
        <v>41</v>
      </c>
    </row>
    <row r="32" spans="7:13" ht="15" thickBot="1" x14ac:dyDescent="0.35">
      <c r="G32" s="1" t="s">
        <v>74</v>
      </c>
      <c r="H32" s="2">
        <v>1</v>
      </c>
      <c r="I32" s="2">
        <v>862.2</v>
      </c>
      <c r="J32" s="2">
        <v>838.2</v>
      </c>
      <c r="K32" s="2">
        <v>304</v>
      </c>
      <c r="L32" s="2">
        <v>0.14893000000000001</v>
      </c>
      <c r="M32" s="2" t="s">
        <v>41</v>
      </c>
    </row>
    <row r="33" spans="7:13" ht="28.2" thickBot="1" x14ac:dyDescent="0.35">
      <c r="G33" s="1" t="s">
        <v>75</v>
      </c>
      <c r="H33" s="2">
        <v>3</v>
      </c>
      <c r="I33" s="2" t="s">
        <v>76</v>
      </c>
      <c r="J33" s="2" t="s">
        <v>77</v>
      </c>
      <c r="K33" s="2">
        <v>300</v>
      </c>
      <c r="L33" s="2">
        <v>0.14893000000000001</v>
      </c>
      <c r="M33" s="2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0353-90B3-438B-AA58-E29B9464B4C9}">
  <dimension ref="A1:E36"/>
  <sheetViews>
    <sheetView topLeftCell="A19" workbookViewId="0">
      <selection activeCell="F37" sqref="F37"/>
    </sheetView>
  </sheetViews>
  <sheetFormatPr defaultRowHeight="14.4" x14ac:dyDescent="0.3"/>
  <sheetData>
    <row r="1" spans="1:5" ht="55.8" thickBot="1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5" thickBot="1" x14ac:dyDescent="0.35">
      <c r="A2" s="2" t="s">
        <v>7</v>
      </c>
      <c r="B2" s="2">
        <v>812</v>
      </c>
      <c r="C2" s="2">
        <v>814</v>
      </c>
      <c r="D2" s="2">
        <v>5.6306820000000002</v>
      </c>
      <c r="E2" s="2">
        <v>5.6306820000000002</v>
      </c>
    </row>
    <row r="3" spans="1:5" ht="15" thickBot="1" x14ac:dyDescent="0.35">
      <c r="A3" s="2" t="s">
        <v>8</v>
      </c>
      <c r="B3" s="2" t="s">
        <v>9</v>
      </c>
      <c r="C3" s="2">
        <v>850</v>
      </c>
      <c r="D3" s="2">
        <v>1.8940000000000001E-3</v>
      </c>
      <c r="E3" s="2">
        <v>5.6325760000000002</v>
      </c>
    </row>
    <row r="4" spans="1:5" ht="15" thickBot="1" x14ac:dyDescent="0.35">
      <c r="A4" s="2" t="s">
        <v>10</v>
      </c>
      <c r="B4" s="2">
        <v>850</v>
      </c>
      <c r="C4" s="2">
        <v>816</v>
      </c>
      <c r="D4" s="2">
        <v>5.8712E-2</v>
      </c>
      <c r="E4" s="2">
        <v>5.6912880000000001</v>
      </c>
    </row>
    <row r="5" spans="1:5" ht="15" thickBot="1" x14ac:dyDescent="0.35">
      <c r="A5" s="2" t="s">
        <v>11</v>
      </c>
      <c r="B5" s="2">
        <v>816</v>
      </c>
      <c r="C5" s="2">
        <v>824</v>
      </c>
      <c r="D5" s="2">
        <v>1.9337120000000001</v>
      </c>
      <c r="E5" s="2">
        <v>7.625</v>
      </c>
    </row>
    <row r="6" spans="1:5" ht="15" thickBot="1" x14ac:dyDescent="0.35">
      <c r="A6" s="2" t="s">
        <v>12</v>
      </c>
      <c r="B6" s="2">
        <v>824</v>
      </c>
      <c r="C6" s="2">
        <v>828</v>
      </c>
      <c r="D6" s="2">
        <v>0.15909100000000001</v>
      </c>
      <c r="E6" s="2">
        <v>7.7840910000000001</v>
      </c>
    </row>
    <row r="7" spans="1:5" ht="15" thickBot="1" x14ac:dyDescent="0.35">
      <c r="A7" s="2" t="s">
        <v>13</v>
      </c>
      <c r="B7" s="2">
        <v>828</v>
      </c>
      <c r="C7" s="2">
        <v>830</v>
      </c>
      <c r="D7" s="2">
        <v>3.8712119999999999</v>
      </c>
      <c r="E7" s="2">
        <v>11.655303</v>
      </c>
    </row>
    <row r="8" spans="1:5" ht="15" thickBot="1" x14ac:dyDescent="0.35">
      <c r="A8" s="2" t="s">
        <v>14</v>
      </c>
      <c r="B8" s="2">
        <v>830</v>
      </c>
      <c r="C8" s="2">
        <v>854</v>
      </c>
      <c r="D8" s="2">
        <v>9.8485000000000003E-2</v>
      </c>
      <c r="E8" s="1">
        <v>11.753788</v>
      </c>
    </row>
    <row r="9" spans="1:5" ht="15" thickBot="1" x14ac:dyDescent="0.35"/>
    <row r="10" spans="1:5" ht="55.8" thickBot="1" x14ac:dyDescent="0.3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5" thickBot="1" x14ac:dyDescent="0.35">
      <c r="A11" s="2" t="s">
        <v>7</v>
      </c>
      <c r="B11" s="2">
        <v>812</v>
      </c>
      <c r="C11" s="2">
        <v>814</v>
      </c>
      <c r="D11" s="2">
        <v>5.6306820000000002</v>
      </c>
      <c r="E11" s="2">
        <v>5.6306820000000002</v>
      </c>
    </row>
    <row r="12" spans="1:5" ht="15" thickBot="1" x14ac:dyDescent="0.35">
      <c r="A12" s="2" t="s">
        <v>8</v>
      </c>
      <c r="B12" s="2" t="s">
        <v>9</v>
      </c>
      <c r="C12" s="2">
        <v>850</v>
      </c>
      <c r="D12" s="2">
        <v>1.8940000000000001E-3</v>
      </c>
      <c r="E12" s="2">
        <v>5.6325760000000002</v>
      </c>
    </row>
    <row r="13" spans="1:5" ht="15" thickBot="1" x14ac:dyDescent="0.35">
      <c r="A13" s="2" t="s">
        <v>10</v>
      </c>
      <c r="B13" s="2">
        <v>850</v>
      </c>
      <c r="C13" s="2">
        <v>816</v>
      </c>
      <c r="D13" s="2">
        <v>5.8712E-2</v>
      </c>
      <c r="E13" s="2">
        <v>5.6912880000000001</v>
      </c>
    </row>
    <row r="14" spans="1:5" ht="15" thickBot="1" x14ac:dyDescent="0.35">
      <c r="A14" s="2" t="s">
        <v>15</v>
      </c>
      <c r="B14" s="2">
        <v>816</v>
      </c>
      <c r="C14" s="2">
        <v>818</v>
      </c>
      <c r="D14" s="2">
        <v>0.32386399999999999</v>
      </c>
      <c r="E14" s="2">
        <v>6.0151519999999996</v>
      </c>
    </row>
    <row r="15" spans="1:5" ht="15" thickBot="1" x14ac:dyDescent="0.35">
      <c r="A15" s="2" t="s">
        <v>16</v>
      </c>
      <c r="B15" s="2">
        <v>818</v>
      </c>
      <c r="C15" s="2">
        <v>820</v>
      </c>
      <c r="D15" s="2">
        <v>9.1193179999999998</v>
      </c>
      <c r="E15" s="2">
        <v>15.13447</v>
      </c>
    </row>
    <row r="16" spans="1:5" ht="15" thickBot="1" x14ac:dyDescent="0.35">
      <c r="A16" s="2" t="s">
        <v>17</v>
      </c>
      <c r="B16" s="2">
        <v>820</v>
      </c>
      <c r="C16" s="2">
        <v>822</v>
      </c>
      <c r="D16" s="2">
        <v>2.6022729999999998</v>
      </c>
      <c r="E16" s="1">
        <v>17.736743000000001</v>
      </c>
    </row>
    <row r="17" spans="1:5" ht="15" thickBot="1" x14ac:dyDescent="0.35"/>
    <row r="18" spans="1:5" ht="55.8" thickBot="1" x14ac:dyDescent="0.35">
      <c r="A18" s="1" t="s">
        <v>2</v>
      </c>
      <c r="B18" s="1" t="s">
        <v>3</v>
      </c>
      <c r="C18" s="1" t="s">
        <v>4</v>
      </c>
      <c r="D18" s="1" t="s">
        <v>5</v>
      </c>
      <c r="E18" s="1" t="s">
        <v>6</v>
      </c>
    </row>
    <row r="19" spans="1:5" ht="29.4" thickBot="1" x14ac:dyDescent="0.35">
      <c r="A19" s="3" t="s">
        <v>18</v>
      </c>
      <c r="B19" s="2">
        <v>812</v>
      </c>
      <c r="C19" s="2">
        <v>854</v>
      </c>
      <c r="D19" s="3" t="s">
        <v>19</v>
      </c>
      <c r="E19" s="2">
        <v>11.753788</v>
      </c>
    </row>
    <row r="20" spans="1:5" ht="15" thickBot="1" x14ac:dyDescent="0.35">
      <c r="A20" s="2" t="s">
        <v>20</v>
      </c>
      <c r="B20" s="2">
        <v>854</v>
      </c>
      <c r="C20" s="2">
        <v>852</v>
      </c>
      <c r="D20" s="2">
        <v>6.9753790000000002</v>
      </c>
      <c r="E20" s="2">
        <v>18.729167</v>
      </c>
    </row>
    <row r="21" spans="1:5" ht="15" thickBot="1" x14ac:dyDescent="0.35">
      <c r="A21" s="2" t="s">
        <v>21</v>
      </c>
      <c r="B21" s="2" t="s">
        <v>22</v>
      </c>
      <c r="C21" s="2">
        <v>832</v>
      </c>
      <c r="D21" s="2">
        <v>1.8940000000000001E-3</v>
      </c>
      <c r="E21" s="2">
        <v>18.731061</v>
      </c>
    </row>
    <row r="22" spans="1:5" ht="15" thickBot="1" x14ac:dyDescent="0.35">
      <c r="A22" s="2" t="s">
        <v>23</v>
      </c>
      <c r="B22" s="2">
        <v>832</v>
      </c>
      <c r="C22" s="2">
        <v>858</v>
      </c>
      <c r="D22" s="2">
        <v>0.92803000000000002</v>
      </c>
      <c r="E22" s="2">
        <v>19.659091</v>
      </c>
    </row>
    <row r="23" spans="1:5" ht="15" thickBot="1" x14ac:dyDescent="0.35">
      <c r="A23" s="2" t="s">
        <v>24</v>
      </c>
      <c r="B23" s="2">
        <v>858</v>
      </c>
      <c r="C23" s="2">
        <v>834</v>
      </c>
      <c r="D23" s="2">
        <v>1.1041669999999999</v>
      </c>
      <c r="E23" s="1">
        <v>20.763258</v>
      </c>
    </row>
    <row r="24" spans="1:5" ht="15" thickBot="1" x14ac:dyDescent="0.35"/>
    <row r="25" spans="1:5" ht="55.8" thickBot="1" x14ac:dyDescent="0.3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</row>
    <row r="26" spans="1:5" ht="29.4" thickBot="1" x14ac:dyDescent="0.35">
      <c r="A26" s="3" t="s">
        <v>25</v>
      </c>
      <c r="B26" s="2">
        <v>812</v>
      </c>
      <c r="C26" s="2">
        <v>834</v>
      </c>
      <c r="D26" s="3" t="s">
        <v>26</v>
      </c>
      <c r="E26" s="2">
        <v>20.763258</v>
      </c>
    </row>
    <row r="27" spans="1:5" ht="15" thickBot="1" x14ac:dyDescent="0.35">
      <c r="A27" s="2" t="s">
        <v>27</v>
      </c>
      <c r="B27" s="2">
        <v>834</v>
      </c>
      <c r="C27" s="2">
        <v>860</v>
      </c>
      <c r="D27" s="2">
        <v>0.38257600000000003</v>
      </c>
      <c r="E27" s="2">
        <v>21.145834000000001</v>
      </c>
    </row>
    <row r="28" spans="1:5" ht="15" thickBot="1" x14ac:dyDescent="0.35">
      <c r="A28" s="2" t="s">
        <v>28</v>
      </c>
      <c r="B28" s="2">
        <v>860</v>
      </c>
      <c r="C28" s="2">
        <v>836</v>
      </c>
      <c r="D28" s="2">
        <v>0.50757600000000003</v>
      </c>
      <c r="E28" s="2">
        <v>21.653410000000001</v>
      </c>
    </row>
    <row r="29" spans="1:5" ht="15" thickBot="1" x14ac:dyDescent="0.35">
      <c r="A29" s="2" t="s">
        <v>29</v>
      </c>
      <c r="B29" s="2">
        <v>836</v>
      </c>
      <c r="C29" s="2">
        <v>840</v>
      </c>
      <c r="D29" s="2">
        <v>0.162879</v>
      </c>
      <c r="E29" s="1">
        <v>21.816289000000001</v>
      </c>
    </row>
    <row r="30" spans="1:5" ht="15" thickBot="1" x14ac:dyDescent="0.35"/>
    <row r="31" spans="1:5" ht="55.8" thickBot="1" x14ac:dyDescent="0.35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</row>
    <row r="32" spans="1:5" ht="29.4" thickBot="1" x14ac:dyDescent="0.35">
      <c r="A32" s="3" t="s">
        <v>25</v>
      </c>
      <c r="B32" s="2">
        <v>812</v>
      </c>
      <c r="C32" s="2">
        <v>834</v>
      </c>
      <c r="D32" s="3" t="s">
        <v>26</v>
      </c>
      <c r="E32" s="2">
        <v>20.763258</v>
      </c>
    </row>
    <row r="33" spans="1:5" ht="15" thickBot="1" x14ac:dyDescent="0.35">
      <c r="A33" s="2" t="s">
        <v>30</v>
      </c>
      <c r="B33" s="2">
        <v>834</v>
      </c>
      <c r="C33" s="2">
        <v>842</v>
      </c>
      <c r="D33" s="2">
        <v>5.3030000000000001E-2</v>
      </c>
      <c r="E33" s="2">
        <v>20.816288</v>
      </c>
    </row>
    <row r="34" spans="1:5" ht="15" thickBot="1" x14ac:dyDescent="0.35">
      <c r="A34" s="2" t="s">
        <v>31</v>
      </c>
      <c r="B34" s="2">
        <v>842</v>
      </c>
      <c r="C34" s="2">
        <v>844</v>
      </c>
      <c r="D34" s="2">
        <v>0.25568200000000002</v>
      </c>
      <c r="E34" s="2">
        <v>21.07197</v>
      </c>
    </row>
    <row r="35" spans="1:5" ht="15" thickBot="1" x14ac:dyDescent="0.35">
      <c r="A35" s="2" t="s">
        <v>32</v>
      </c>
      <c r="B35" s="2">
        <v>844</v>
      </c>
      <c r="C35" s="2">
        <v>846</v>
      </c>
      <c r="D35" s="2">
        <v>0.68939399999999995</v>
      </c>
      <c r="E35" s="2">
        <v>21.761364</v>
      </c>
    </row>
    <row r="36" spans="1:5" ht="15" thickBot="1" x14ac:dyDescent="0.35">
      <c r="A36" s="2" t="s">
        <v>33</v>
      </c>
      <c r="B36" s="2">
        <v>846</v>
      </c>
      <c r="C36" s="2">
        <v>848</v>
      </c>
      <c r="D36" s="2">
        <v>0.100379</v>
      </c>
      <c r="E36" s="1">
        <v>21.861743000000001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BADB-C4A6-4C31-81E1-D0D083EC91FF}">
  <dimension ref="G1:U32"/>
  <sheetViews>
    <sheetView tabSelected="1" zoomScale="85" zoomScaleNormal="85" workbookViewId="0">
      <selection activeCell="S2" sqref="S2:S7"/>
    </sheetView>
  </sheetViews>
  <sheetFormatPr defaultRowHeight="14.4" x14ac:dyDescent="0.3"/>
  <cols>
    <col min="18" max="18" width="9.33203125" customWidth="1"/>
    <col min="21" max="21" width="49" bestFit="1" customWidth="1"/>
  </cols>
  <sheetData>
    <row r="1" spans="7:21" ht="28.2" thickBot="1" x14ac:dyDescent="0.35">
      <c r="G1" s="1" t="s">
        <v>38</v>
      </c>
      <c r="H1" s="2">
        <v>3</v>
      </c>
      <c r="I1" s="2" t="s">
        <v>39</v>
      </c>
      <c r="J1" s="2" t="s">
        <v>40</v>
      </c>
      <c r="K1" s="2">
        <v>300</v>
      </c>
      <c r="L1" s="2">
        <v>0.48863600000000001</v>
      </c>
      <c r="M1" s="2" t="s">
        <v>41</v>
      </c>
      <c r="O1" s="6" t="s">
        <v>1</v>
      </c>
      <c r="P1" s="1"/>
      <c r="Q1" s="1"/>
      <c r="R1" s="6" t="s">
        <v>92</v>
      </c>
    </row>
    <row r="2" spans="7:21" ht="28.2" thickBot="1" x14ac:dyDescent="0.35">
      <c r="G2" s="1" t="s">
        <v>42</v>
      </c>
      <c r="H2" s="2">
        <v>3</v>
      </c>
      <c r="I2" s="2" t="s">
        <v>40</v>
      </c>
      <c r="J2" s="2" t="s">
        <v>43</v>
      </c>
      <c r="K2" s="2">
        <v>300</v>
      </c>
      <c r="L2" s="2">
        <v>0.327652</v>
      </c>
      <c r="M2" s="2" t="s">
        <v>41</v>
      </c>
      <c r="O2" s="7">
        <v>0.62</v>
      </c>
      <c r="P2" s="2"/>
      <c r="Q2" s="2"/>
      <c r="R2" s="7">
        <f>5.630682+0.001894</f>
        <v>5.6325760000000002</v>
      </c>
      <c r="S2" s="8"/>
      <c r="U2">
        <f>L6+ L7</f>
        <v>0.62000062</v>
      </c>
    </row>
    <row r="3" spans="7:21" ht="28.2" thickBot="1" x14ac:dyDescent="0.35">
      <c r="G3" s="1" t="s">
        <v>44</v>
      </c>
      <c r="H3" s="2">
        <v>3</v>
      </c>
      <c r="I3" s="2" t="s">
        <v>43</v>
      </c>
      <c r="J3" s="2" t="s">
        <v>45</v>
      </c>
      <c r="K3" s="2">
        <v>300</v>
      </c>
      <c r="L3" s="2">
        <v>0.5</v>
      </c>
      <c r="M3" s="2" t="s">
        <v>41</v>
      </c>
      <c r="O3" s="7">
        <v>2.1800000000000002</v>
      </c>
      <c r="P3" s="2"/>
      <c r="Q3" s="2"/>
      <c r="R3" s="7">
        <v>11.75</v>
      </c>
      <c r="S3" s="8"/>
      <c r="U3">
        <f>L6+L7 +L24 +L9 +L13+ L14+ L15</f>
        <v>2.1799999824086709</v>
      </c>
    </row>
    <row r="4" spans="7:21" ht="15" thickBot="1" x14ac:dyDescent="0.35">
      <c r="G4" s="1" t="s">
        <v>46</v>
      </c>
      <c r="H4" s="2">
        <v>1</v>
      </c>
      <c r="I4" s="2">
        <v>808.2</v>
      </c>
      <c r="J4" s="2">
        <v>810.2</v>
      </c>
      <c r="K4" s="2">
        <v>303</v>
      </c>
      <c r="L4" s="2">
        <v>1.0992420000000001</v>
      </c>
      <c r="M4" s="2" t="s">
        <v>41</v>
      </c>
      <c r="O4" s="7">
        <v>3</v>
      </c>
      <c r="P4" s="2"/>
      <c r="Q4" s="2"/>
      <c r="R4" s="7">
        <v>17.739999999999998</v>
      </c>
      <c r="S4" s="8"/>
      <c r="U4">
        <f>L6+ L7+ L24+ L8+ L10+ L11</f>
        <v>2.9999999981603249</v>
      </c>
    </row>
    <row r="5" spans="7:21" ht="28.2" thickBot="1" x14ac:dyDescent="0.35">
      <c r="G5" s="1" t="s">
        <v>47</v>
      </c>
      <c r="H5" s="2">
        <v>3</v>
      </c>
      <c r="I5" s="2" t="s">
        <v>45</v>
      </c>
      <c r="J5" s="2" t="s">
        <v>48</v>
      </c>
      <c r="K5" s="2">
        <v>300</v>
      </c>
      <c r="L5" s="2">
        <v>0.9</v>
      </c>
      <c r="M5" s="2" t="s">
        <v>41</v>
      </c>
      <c r="O5" s="7">
        <v>4.05</v>
      </c>
      <c r="P5" s="2"/>
      <c r="Q5" s="2"/>
      <c r="R5" s="7">
        <v>20.76</v>
      </c>
      <c r="S5" s="8"/>
      <c r="U5">
        <f>L6+ L7+ L24+ L9+ L13+ L14 +L15 +L27+ L25+ L16+ L29</f>
        <v>4.049999981996554</v>
      </c>
    </row>
    <row r="6" spans="7:21" ht="28.2" thickBot="1" x14ac:dyDescent="0.35">
      <c r="G6" s="1" t="s">
        <v>7</v>
      </c>
      <c r="H6" s="2">
        <v>3</v>
      </c>
      <c r="I6" s="2" t="s">
        <v>48</v>
      </c>
      <c r="J6" s="2" t="s">
        <v>49</v>
      </c>
      <c r="K6" s="2">
        <v>300</v>
      </c>
      <c r="L6" s="2">
        <v>0.61810672</v>
      </c>
      <c r="M6" s="2" t="s">
        <v>41</v>
      </c>
      <c r="O6" s="7">
        <v>6.75</v>
      </c>
      <c r="P6" s="2"/>
      <c r="Q6" s="2"/>
      <c r="R6" s="7">
        <v>21.82</v>
      </c>
      <c r="S6" s="8"/>
      <c r="U6">
        <f>L6+ L7 +L24+ L9+ L13+ L14+ L15+ L27+ L25+ L16+ L29+  L17+ L30+ L19</f>
        <v>6.7499998615633086</v>
      </c>
    </row>
    <row r="7" spans="7:21" ht="28.2" thickBot="1" x14ac:dyDescent="0.35">
      <c r="G7" s="1" t="s">
        <v>8</v>
      </c>
      <c r="H7" s="2">
        <v>3</v>
      </c>
      <c r="I7" s="2" t="s">
        <v>50</v>
      </c>
      <c r="J7" s="2" t="s">
        <v>51</v>
      </c>
      <c r="K7" s="2">
        <v>301</v>
      </c>
      <c r="L7" s="2">
        <v>1.8939E-3</v>
      </c>
      <c r="M7" s="2" t="s">
        <v>41</v>
      </c>
      <c r="O7" s="7">
        <v>7.47</v>
      </c>
      <c r="P7" s="2"/>
      <c r="Q7" s="2"/>
      <c r="R7" s="7">
        <v>21.86</v>
      </c>
      <c r="S7" s="8"/>
      <c r="U7">
        <f>L6+L7+L24+L9+L13+L14+L15+L27+L25+L16+L29+L18+L21+L22+L23</f>
        <v>7.4700059217738426</v>
      </c>
    </row>
    <row r="8" spans="7:21" ht="15" thickBot="1" x14ac:dyDescent="0.35">
      <c r="G8" s="1" t="s">
        <v>15</v>
      </c>
      <c r="H8" s="2">
        <v>1</v>
      </c>
      <c r="I8" s="2">
        <v>816.1</v>
      </c>
      <c r="J8" s="2">
        <v>818.1</v>
      </c>
      <c r="K8" s="2">
        <v>302</v>
      </c>
      <c r="L8" s="2">
        <v>1.0302179229309408E-3</v>
      </c>
      <c r="M8" s="2" t="s">
        <v>41</v>
      </c>
    </row>
    <row r="9" spans="7:21" ht="28.2" thickBot="1" x14ac:dyDescent="0.35">
      <c r="G9" s="1" t="s">
        <v>11</v>
      </c>
      <c r="H9" s="2">
        <v>3</v>
      </c>
      <c r="I9" s="2" t="s">
        <v>52</v>
      </c>
      <c r="J9" s="2" t="s">
        <v>53</v>
      </c>
      <c r="K9" s="2">
        <v>301</v>
      </c>
      <c r="L9" s="2">
        <v>1E-3</v>
      </c>
      <c r="M9" s="2" t="s">
        <v>41</v>
      </c>
      <c r="T9" t="s">
        <v>90</v>
      </c>
      <c r="U9">
        <f>SUM(L1:L32)</f>
        <v>14.315535817092247</v>
      </c>
    </row>
    <row r="10" spans="7:21" ht="15" thickBot="1" x14ac:dyDescent="0.35">
      <c r="G10" s="1" t="s">
        <v>16</v>
      </c>
      <c r="H10" s="2">
        <v>1</v>
      </c>
      <c r="I10" s="2">
        <v>818.1</v>
      </c>
      <c r="J10" s="2">
        <v>820.1</v>
      </c>
      <c r="K10" s="2">
        <v>302</v>
      </c>
      <c r="L10" s="2">
        <v>9.9999999999999894E-4</v>
      </c>
      <c r="M10" s="2" t="s">
        <v>41</v>
      </c>
    </row>
    <row r="11" spans="7:21" ht="15" thickBot="1" x14ac:dyDescent="0.35">
      <c r="G11" s="1" t="s">
        <v>17</v>
      </c>
      <c r="H11" s="2">
        <v>1</v>
      </c>
      <c r="I11" s="2">
        <v>820.1</v>
      </c>
      <c r="J11" s="2">
        <v>822.1</v>
      </c>
      <c r="K11" s="2">
        <v>302</v>
      </c>
      <c r="L11" s="2">
        <v>0.82196979782872293</v>
      </c>
      <c r="M11" s="2" t="s">
        <v>41</v>
      </c>
    </row>
    <row r="12" spans="7:21" ht="15" thickBot="1" x14ac:dyDescent="0.35">
      <c r="G12" s="1" t="s">
        <v>54</v>
      </c>
      <c r="H12" s="2">
        <v>1</v>
      </c>
      <c r="I12" s="2">
        <v>824.2</v>
      </c>
      <c r="J12" s="2">
        <v>826.2</v>
      </c>
      <c r="K12" s="2">
        <v>303</v>
      </c>
      <c r="L12" s="2">
        <v>1E-3</v>
      </c>
      <c r="M12" s="2" t="s">
        <v>41</v>
      </c>
      <c r="R12" t="s">
        <v>91</v>
      </c>
      <c r="S12">
        <v>1.8939E-3</v>
      </c>
    </row>
    <row r="13" spans="7:21" ht="28.2" thickBot="1" x14ac:dyDescent="0.35">
      <c r="G13" s="1" t="s">
        <v>12</v>
      </c>
      <c r="H13" s="2">
        <v>3</v>
      </c>
      <c r="I13" s="2" t="s">
        <v>53</v>
      </c>
      <c r="J13" s="2" t="s">
        <v>55</v>
      </c>
      <c r="K13" s="2">
        <v>301</v>
      </c>
      <c r="L13" s="2">
        <v>1E-3</v>
      </c>
      <c r="M13" s="2" t="s">
        <v>41</v>
      </c>
    </row>
    <row r="14" spans="7:21" ht="28.2" thickBot="1" x14ac:dyDescent="0.35">
      <c r="G14" s="1" t="s">
        <v>13</v>
      </c>
      <c r="H14" s="2">
        <v>3</v>
      </c>
      <c r="I14" s="2" t="s">
        <v>55</v>
      </c>
      <c r="J14" s="2" t="s">
        <v>56</v>
      </c>
      <c r="K14" s="2">
        <v>301</v>
      </c>
      <c r="L14" s="2">
        <v>1E-3</v>
      </c>
      <c r="M14" s="2" t="s">
        <v>41</v>
      </c>
      <c r="O14" t="s">
        <v>38</v>
      </c>
      <c r="P14">
        <v>0.48863600000000001</v>
      </c>
    </row>
    <row r="15" spans="7:21" ht="28.2" thickBot="1" x14ac:dyDescent="0.35">
      <c r="G15" s="1" t="s">
        <v>14</v>
      </c>
      <c r="H15" s="2">
        <v>3</v>
      </c>
      <c r="I15" s="2" t="s">
        <v>56</v>
      </c>
      <c r="J15" s="2" t="s">
        <v>57</v>
      </c>
      <c r="K15" s="2">
        <v>301</v>
      </c>
      <c r="L15" s="2">
        <v>1E-3</v>
      </c>
      <c r="M15" s="2" t="s">
        <v>41</v>
      </c>
      <c r="O15" t="s">
        <v>42</v>
      </c>
      <c r="P15">
        <v>0.327652</v>
      </c>
    </row>
    <row r="16" spans="7:21" ht="28.2" thickBot="1" x14ac:dyDescent="0.35">
      <c r="G16" s="1" t="s">
        <v>23</v>
      </c>
      <c r="H16" s="2">
        <v>3</v>
      </c>
      <c r="I16" s="2" t="s">
        <v>58</v>
      </c>
      <c r="J16" s="2" t="s">
        <v>59</v>
      </c>
      <c r="K16" s="2">
        <v>301</v>
      </c>
      <c r="L16" s="2">
        <v>1.8670014020886327</v>
      </c>
      <c r="M16" s="2" t="s">
        <v>41</v>
      </c>
      <c r="O16" t="s">
        <v>44</v>
      </c>
      <c r="P16">
        <v>0.5</v>
      </c>
    </row>
    <row r="17" spans="7:16" ht="28.2" thickBot="1" x14ac:dyDescent="0.35">
      <c r="G17" s="1" t="s">
        <v>27</v>
      </c>
      <c r="H17" s="2">
        <v>3</v>
      </c>
      <c r="I17" s="2" t="s">
        <v>60</v>
      </c>
      <c r="J17" s="2" t="s">
        <v>61</v>
      </c>
      <c r="K17" s="2">
        <v>301</v>
      </c>
      <c r="L17" s="2">
        <v>0.87188437751545955</v>
      </c>
      <c r="M17" s="2" t="s">
        <v>41</v>
      </c>
      <c r="O17" t="s">
        <v>46</v>
      </c>
      <c r="P17">
        <v>1.0992420000000001</v>
      </c>
    </row>
    <row r="18" spans="7:16" ht="28.2" thickBot="1" x14ac:dyDescent="0.35">
      <c r="G18" s="1" t="s">
        <v>30</v>
      </c>
      <c r="H18" s="2">
        <v>3</v>
      </c>
      <c r="I18" s="2" t="s">
        <v>60</v>
      </c>
      <c r="J18" s="2" t="s">
        <v>62</v>
      </c>
      <c r="K18" s="2">
        <v>301</v>
      </c>
      <c r="L18" s="2">
        <v>9.9942406728698811E-4</v>
      </c>
      <c r="M18" s="2" t="s">
        <v>41</v>
      </c>
      <c r="O18" t="s">
        <v>47</v>
      </c>
      <c r="P18">
        <v>0.9</v>
      </c>
    </row>
    <row r="19" spans="7:16" ht="28.2" thickBot="1" x14ac:dyDescent="0.35">
      <c r="G19" s="1" t="s">
        <v>29</v>
      </c>
      <c r="H19" s="2">
        <v>3</v>
      </c>
      <c r="I19" s="2" t="s">
        <v>63</v>
      </c>
      <c r="J19" s="2" t="s">
        <v>64</v>
      </c>
      <c r="K19" s="2">
        <v>301</v>
      </c>
      <c r="L19" s="2">
        <v>0.9140577510256479</v>
      </c>
      <c r="M19" s="2" t="s">
        <v>41</v>
      </c>
      <c r="P19">
        <f>SUM(P14:P18)</f>
        <v>3.3155300000000003</v>
      </c>
    </row>
    <row r="20" spans="7:16" ht="28.2" thickBot="1" x14ac:dyDescent="0.35">
      <c r="G20" s="1" t="s">
        <v>65</v>
      </c>
      <c r="H20" s="2">
        <v>3</v>
      </c>
      <c r="I20" s="2" t="s">
        <v>63</v>
      </c>
      <c r="J20" s="2" t="s">
        <v>66</v>
      </c>
      <c r="K20" s="2">
        <v>301</v>
      </c>
      <c r="L20" s="2">
        <v>1.0000000000000009E-3</v>
      </c>
      <c r="M20" s="2" t="s">
        <v>41</v>
      </c>
    </row>
    <row r="21" spans="7:16" ht="28.2" thickBot="1" x14ac:dyDescent="0.35">
      <c r="G21" s="1" t="s">
        <v>31</v>
      </c>
      <c r="H21" s="2">
        <v>3</v>
      </c>
      <c r="I21" s="2" t="s">
        <v>62</v>
      </c>
      <c r="J21" s="2" t="s">
        <v>67</v>
      </c>
      <c r="K21" s="2">
        <v>301</v>
      </c>
      <c r="L21" s="2">
        <v>1.1396688385700005</v>
      </c>
      <c r="M21" s="2" t="s">
        <v>41</v>
      </c>
    </row>
    <row r="22" spans="7:16" ht="28.2" thickBot="1" x14ac:dyDescent="0.35">
      <c r="G22" s="1" t="s">
        <v>32</v>
      </c>
      <c r="H22" s="2">
        <v>3</v>
      </c>
      <c r="I22" s="2" t="s">
        <v>67</v>
      </c>
      <c r="J22" s="2" t="s">
        <v>68</v>
      </c>
      <c r="K22" s="2">
        <v>301</v>
      </c>
      <c r="L22" s="2">
        <v>1.1396688385700005</v>
      </c>
      <c r="M22" s="2" t="s">
        <v>41</v>
      </c>
    </row>
    <row r="23" spans="7:16" ht="28.2" thickBot="1" x14ac:dyDescent="0.35">
      <c r="G23" s="1" t="s">
        <v>33</v>
      </c>
      <c r="H23" s="2">
        <v>3</v>
      </c>
      <c r="I23" s="2" t="s">
        <v>68</v>
      </c>
      <c r="J23" s="2" t="s">
        <v>69</v>
      </c>
      <c r="K23" s="2">
        <v>301</v>
      </c>
      <c r="L23" s="2">
        <v>1.1396688385700005</v>
      </c>
      <c r="M23" s="2" t="s">
        <v>41</v>
      </c>
    </row>
    <row r="24" spans="7:16" ht="28.2" thickBot="1" x14ac:dyDescent="0.35">
      <c r="G24" s="1" t="s">
        <v>10</v>
      </c>
      <c r="H24" s="2">
        <v>3</v>
      </c>
      <c r="I24" s="2" t="s">
        <v>51</v>
      </c>
      <c r="J24" s="2" t="s">
        <v>52</v>
      </c>
      <c r="K24" s="2">
        <v>301</v>
      </c>
      <c r="L24" s="2">
        <v>1.5559993624086712</v>
      </c>
      <c r="M24" s="2" t="s">
        <v>41</v>
      </c>
    </row>
    <row r="25" spans="7:16" ht="28.2" thickBot="1" x14ac:dyDescent="0.35">
      <c r="G25" s="1" t="s">
        <v>21</v>
      </c>
      <c r="H25" s="2">
        <v>3</v>
      </c>
      <c r="I25" s="2" t="s">
        <v>70</v>
      </c>
      <c r="J25" s="2" t="s">
        <v>58</v>
      </c>
      <c r="K25" s="2">
        <v>301</v>
      </c>
      <c r="L25" s="2">
        <v>9.9953249975000161E-4</v>
      </c>
      <c r="M25" s="2" t="s">
        <v>41</v>
      </c>
    </row>
    <row r="26" spans="7:16" ht="15" thickBot="1" x14ac:dyDescent="0.35">
      <c r="G26" s="1" t="s">
        <v>71</v>
      </c>
      <c r="H26" s="2">
        <v>1</v>
      </c>
      <c r="I26" s="2">
        <v>854.2</v>
      </c>
      <c r="J26" s="2">
        <v>856.2</v>
      </c>
      <c r="K26" s="2">
        <v>303</v>
      </c>
      <c r="L26" s="2">
        <v>1.0000000000000009E-3</v>
      </c>
      <c r="M26" s="2" t="s">
        <v>41</v>
      </c>
    </row>
    <row r="27" spans="7:16" ht="28.2" thickBot="1" x14ac:dyDescent="0.35">
      <c r="G27" s="1" t="s">
        <v>20</v>
      </c>
      <c r="H27" s="2">
        <v>3</v>
      </c>
      <c r="I27" s="2" t="s">
        <v>57</v>
      </c>
      <c r="J27" s="2" t="s">
        <v>72</v>
      </c>
      <c r="K27" s="2">
        <v>301</v>
      </c>
      <c r="L27" s="2">
        <v>9.9953249975000161E-4</v>
      </c>
      <c r="M27" s="2" t="s">
        <v>41</v>
      </c>
    </row>
    <row r="28" spans="7:16" ht="15" thickBot="1" x14ac:dyDescent="0.35">
      <c r="G28" s="1" t="s">
        <v>73</v>
      </c>
      <c r="H28" s="2">
        <v>1</v>
      </c>
      <c r="I28" s="2">
        <v>858.1</v>
      </c>
      <c r="J28" s="2">
        <v>864.1</v>
      </c>
      <c r="K28" s="2">
        <v>303</v>
      </c>
      <c r="L28" s="2">
        <v>1.0000000000000009E-3</v>
      </c>
      <c r="M28" s="2" t="s">
        <v>41</v>
      </c>
    </row>
    <row r="29" spans="7:16" ht="28.2" thickBot="1" x14ac:dyDescent="0.35">
      <c r="G29" s="1" t="s">
        <v>24</v>
      </c>
      <c r="H29" s="2">
        <v>3</v>
      </c>
      <c r="I29" s="2" t="s">
        <v>59</v>
      </c>
      <c r="J29" s="2" t="s">
        <v>60</v>
      </c>
      <c r="K29" s="2">
        <v>301</v>
      </c>
      <c r="L29" s="2">
        <v>9.9953249975001462E-4</v>
      </c>
      <c r="M29" s="2" t="s">
        <v>41</v>
      </c>
    </row>
    <row r="30" spans="7:16" ht="28.2" thickBot="1" x14ac:dyDescent="0.35">
      <c r="G30" s="1" t="s">
        <v>28</v>
      </c>
      <c r="H30" s="2">
        <v>3</v>
      </c>
      <c r="I30" s="2" t="s">
        <v>61</v>
      </c>
      <c r="J30" s="2" t="s">
        <v>63</v>
      </c>
      <c r="K30" s="2">
        <v>301</v>
      </c>
      <c r="L30" s="2">
        <v>0.9140577510256479</v>
      </c>
      <c r="M30" s="2" t="s">
        <v>41</v>
      </c>
    </row>
    <row r="31" spans="7:16" ht="15" thickBot="1" x14ac:dyDescent="0.35">
      <c r="G31" s="1" t="s">
        <v>74</v>
      </c>
      <c r="H31" s="2">
        <v>1</v>
      </c>
      <c r="I31" s="2">
        <v>862.2</v>
      </c>
      <c r="J31" s="2">
        <v>838.2</v>
      </c>
      <c r="K31" s="2">
        <v>304</v>
      </c>
      <c r="L31" s="2">
        <v>1.0000000000000009E-3</v>
      </c>
      <c r="M31" s="2" t="s">
        <v>41</v>
      </c>
    </row>
    <row r="32" spans="7:16" ht="28.2" thickBot="1" x14ac:dyDescent="0.35">
      <c r="G32" s="1" t="s">
        <v>75</v>
      </c>
      <c r="H32" s="2">
        <v>3</v>
      </c>
      <c r="I32" s="2" t="s">
        <v>76</v>
      </c>
      <c r="J32" s="2" t="s">
        <v>77</v>
      </c>
      <c r="K32" s="2">
        <v>300</v>
      </c>
      <c r="L32" s="2">
        <v>1.0000000000000009E-3</v>
      </c>
      <c r="M32" s="2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Planilha7</vt:lpstr>
      <vt:lpstr>Planilha2</vt:lpstr>
      <vt:lpstr>812 até 854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Nilberth Souza</dc:creator>
  <cp:lastModifiedBy>Nilberth Souza</cp:lastModifiedBy>
  <dcterms:created xsi:type="dcterms:W3CDTF">2026-05-09T03:56:44Z</dcterms:created>
  <dcterms:modified xsi:type="dcterms:W3CDTF">2026-05-09T18:55:44Z</dcterms:modified>
</cp:coreProperties>
</file>