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be\Documents\DISCIPLINAS\TCC2026\"/>
    </mc:Choice>
  </mc:AlternateContent>
  <xr:revisionPtr revIDLastSave="0" documentId="13_ncr:1_{6551FC1E-09A5-4C7E-B117-4ABE7778474A}" xr6:coauthVersionLast="47" xr6:coauthVersionMax="47" xr10:uidLastSave="{00000000-0000-0000-0000-000000000000}"/>
  <bookViews>
    <workbookView xWindow="-108" yWindow="-108" windowWidth="23256" windowHeight="12456" firstSheet="1" activeTab="5" xr2:uid="{B6BD0611-84CC-415C-BFE8-E5F1AE7B8FB6}"/>
  </bookViews>
  <sheets>
    <sheet name="Planilha1" sheetId="1" r:id="rId1"/>
    <sheet name="Planilha2" sheetId="2" r:id="rId2"/>
    <sheet name="Cargas Originais" sheetId="3" r:id="rId3"/>
    <sheet name="Cargas Alteradas" sheetId="4" r:id="rId4"/>
    <sheet name="Planilha5" sheetId="5" r:id="rId5"/>
    <sheet name="Planilha3" sheetId="6" r:id="rId6"/>
    <sheet name="Planilha4" sheetId="7" r:id="rId7"/>
    <sheet name="Planilha6" sheetId="8" r:id="rId8"/>
  </sheets>
  <definedNames>
    <definedName name="solver_adj" localSheetId="1" hidden="1">Planilha2!$Q$3:$Q$20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Planilha2!$Q$10</definedName>
    <definedName name="solver_lhs10" localSheetId="1" hidden="1">Planilha2!$Q$19</definedName>
    <definedName name="solver_lhs11" localSheetId="1" hidden="1">Planilha2!$Q$20</definedName>
    <definedName name="solver_lhs12" localSheetId="1" hidden="1">Planilha2!$Q$3</definedName>
    <definedName name="solver_lhs13" localSheetId="1" hidden="1">Planilha2!$Q$4</definedName>
    <definedName name="solver_lhs14" localSheetId="1" hidden="1">Planilha2!$Q$5</definedName>
    <definedName name="solver_lhs15" localSheetId="1" hidden="1">Planilha2!$Q$6</definedName>
    <definedName name="solver_lhs16" localSheetId="1" hidden="1">Planilha2!$Q$7</definedName>
    <definedName name="solver_lhs17" localSheetId="1" hidden="1">Planilha2!$Q$8</definedName>
    <definedName name="solver_lhs18" localSheetId="1" hidden="1">Planilha2!$Q$9</definedName>
    <definedName name="solver_lhs19" localSheetId="1" hidden="1">Planilha2!$W$3</definedName>
    <definedName name="solver_lhs2" localSheetId="1" hidden="1">Planilha2!$Q$11</definedName>
    <definedName name="solver_lhs3" localSheetId="1" hidden="1">Planilha2!$Q$12</definedName>
    <definedName name="solver_lhs4" localSheetId="1" hidden="1">Planilha2!$Q$13</definedName>
    <definedName name="solver_lhs5" localSheetId="1" hidden="1">Planilha2!$Q$14</definedName>
    <definedName name="solver_lhs6" localSheetId="1" hidden="1">Planilha2!$Q$15</definedName>
    <definedName name="solver_lhs7" localSheetId="1" hidden="1">Planilha2!$Q$16</definedName>
    <definedName name="solver_lhs8" localSheetId="1" hidden="1">Planilha2!$Q$17</definedName>
    <definedName name="solver_lhs9" localSheetId="1" hidden="1">Planilha2!$Q$18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19</definedName>
    <definedName name="solver_nwt" localSheetId="1" hidden="1">1</definedName>
    <definedName name="solver_opt" localSheetId="1" hidden="1">Planilha2!$W$3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3</definedName>
    <definedName name="solver_rel11" localSheetId="1" hidden="1">3</definedName>
    <definedName name="solver_rel12" localSheetId="1" hidden="1">3</definedName>
    <definedName name="solver_rel13" localSheetId="1" hidden="1">3</definedName>
    <definedName name="solver_rel14" localSheetId="1" hidden="1">3</definedName>
    <definedName name="solver_rel15" localSheetId="1" hidden="1">3</definedName>
    <definedName name="solver_rel16" localSheetId="1" hidden="1">3</definedName>
    <definedName name="solver_rel17" localSheetId="1" hidden="1">3</definedName>
    <definedName name="solver_rel18" localSheetId="1" hidden="1">3</definedName>
    <definedName name="solver_rel19" localSheetId="1" hidden="1">2</definedName>
    <definedName name="solver_rel2" localSheetId="1" hidden="1">3</definedName>
    <definedName name="solver_rel3" localSheetId="1" hidden="1">3</definedName>
    <definedName name="solver_rel4" localSheetId="1" hidden="1">3</definedName>
    <definedName name="solver_rel5" localSheetId="1" hidden="1">3</definedName>
    <definedName name="solver_rel6" localSheetId="1" hidden="1">3</definedName>
    <definedName name="solver_rel7" localSheetId="1" hidden="1">3</definedName>
    <definedName name="solver_rel8" localSheetId="1" hidden="1">3</definedName>
    <definedName name="solver_rel9" localSheetId="1" hidden="1">3</definedName>
    <definedName name="solver_rhs1" localSheetId="1" hidden="1">0.1</definedName>
    <definedName name="solver_rhs10" localSheetId="1" hidden="1">0.1</definedName>
    <definedName name="solver_rhs11" localSheetId="1" hidden="1">0.1</definedName>
    <definedName name="solver_rhs12" localSheetId="1" hidden="1">0.1</definedName>
    <definedName name="solver_rhs13" localSheetId="1" hidden="1">0.1</definedName>
    <definedName name="solver_rhs14" localSheetId="1" hidden="1">0.1</definedName>
    <definedName name="solver_rhs15" localSheetId="1" hidden="1">0.1</definedName>
    <definedName name="solver_rhs16" localSheetId="1" hidden="1">0.1</definedName>
    <definedName name="solver_rhs17" localSheetId="1" hidden="1">0.1</definedName>
    <definedName name="solver_rhs18" localSheetId="1" hidden="1">0.1</definedName>
    <definedName name="solver_rhs19" localSheetId="1" hidden="1">9.53</definedName>
    <definedName name="solver_rhs2" localSheetId="1" hidden="1">0.1</definedName>
    <definedName name="solver_rhs3" localSheetId="1" hidden="1">0.1</definedName>
    <definedName name="solver_rhs4" localSheetId="1" hidden="1">0.1</definedName>
    <definedName name="solver_rhs5" localSheetId="1" hidden="1">0.1</definedName>
    <definedName name="solver_rhs6" localSheetId="1" hidden="1">0.1</definedName>
    <definedName name="solver_rhs7" localSheetId="1" hidden="1">0.1</definedName>
    <definedName name="solver_rhs8" localSheetId="1" hidden="1">0.1</definedName>
    <definedName name="solver_rhs9" localSheetId="1" hidden="1">0.1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5" i="8" l="1"/>
  <c r="AC9" i="8"/>
  <c r="AC3" i="8"/>
  <c r="AA21" i="8"/>
  <c r="AC21" i="8" s="1"/>
  <c r="Z21" i="8"/>
  <c r="AB21" i="8" s="1"/>
  <c r="W21" i="8"/>
  <c r="U21" i="8"/>
  <c r="T21" i="8"/>
  <c r="V21" i="8" s="1"/>
  <c r="O21" i="8"/>
  <c r="Q21" i="8" s="1"/>
  <c r="N21" i="8"/>
  <c r="P21" i="8" s="1"/>
  <c r="AA20" i="8"/>
  <c r="AC20" i="8" s="1"/>
  <c r="Z20" i="8"/>
  <c r="AB20" i="8" s="1"/>
  <c r="W20" i="8"/>
  <c r="U20" i="8"/>
  <c r="T20" i="8"/>
  <c r="V20" i="8" s="1"/>
  <c r="O20" i="8"/>
  <c r="Q20" i="8" s="1"/>
  <c r="N20" i="8"/>
  <c r="P20" i="8" s="1"/>
  <c r="AA19" i="8"/>
  <c r="AC19" i="8" s="1"/>
  <c r="Z19" i="8"/>
  <c r="AB19" i="8" s="1"/>
  <c r="W19" i="8"/>
  <c r="U19" i="8"/>
  <c r="T19" i="8"/>
  <c r="V19" i="8" s="1"/>
  <c r="O19" i="8"/>
  <c r="Q19" i="8" s="1"/>
  <c r="N19" i="8"/>
  <c r="P19" i="8" s="1"/>
  <c r="AA18" i="8"/>
  <c r="AC18" i="8" s="1"/>
  <c r="Z18" i="8"/>
  <c r="AB18" i="8" s="1"/>
  <c r="W18" i="8"/>
  <c r="U18" i="8"/>
  <c r="T18" i="8"/>
  <c r="V18" i="8" s="1"/>
  <c r="O18" i="8"/>
  <c r="Q18" i="8" s="1"/>
  <c r="N18" i="8"/>
  <c r="P18" i="8" s="1"/>
  <c r="AA17" i="8"/>
  <c r="AC17" i="8" s="1"/>
  <c r="Z17" i="8"/>
  <c r="AB17" i="8" s="1"/>
  <c r="W17" i="8"/>
  <c r="U17" i="8"/>
  <c r="T17" i="8"/>
  <c r="V17" i="8" s="1"/>
  <c r="O17" i="8"/>
  <c r="Q17" i="8" s="1"/>
  <c r="N17" i="8"/>
  <c r="P17" i="8" s="1"/>
  <c r="AA16" i="8"/>
  <c r="AC16" i="8" s="1"/>
  <c r="Z16" i="8"/>
  <c r="AB16" i="8" s="1"/>
  <c r="W16" i="8"/>
  <c r="U16" i="8"/>
  <c r="T16" i="8"/>
  <c r="V16" i="8" s="1"/>
  <c r="O16" i="8"/>
  <c r="Q16" i="8" s="1"/>
  <c r="N16" i="8"/>
  <c r="P16" i="8" s="1"/>
  <c r="AA15" i="8"/>
  <c r="Z15" i="8"/>
  <c r="AB15" i="8" s="1"/>
  <c r="W15" i="8"/>
  <c r="U15" i="8"/>
  <c r="T15" i="8"/>
  <c r="V15" i="8" s="1"/>
  <c r="O15" i="8"/>
  <c r="Q15" i="8" s="1"/>
  <c r="N15" i="8"/>
  <c r="P15" i="8" s="1"/>
  <c r="AA14" i="8"/>
  <c r="AC14" i="8" s="1"/>
  <c r="Z14" i="8"/>
  <c r="AB14" i="8" s="1"/>
  <c r="W14" i="8"/>
  <c r="U14" i="8"/>
  <c r="T14" i="8"/>
  <c r="V14" i="8" s="1"/>
  <c r="O14" i="8"/>
  <c r="Q14" i="8" s="1"/>
  <c r="N14" i="8"/>
  <c r="P14" i="8" s="1"/>
  <c r="AA13" i="8"/>
  <c r="AC13" i="8" s="1"/>
  <c r="Z13" i="8"/>
  <c r="AB13" i="8" s="1"/>
  <c r="W13" i="8"/>
  <c r="V13" i="8"/>
  <c r="U13" i="8"/>
  <c r="T13" i="8"/>
  <c r="O13" i="8"/>
  <c r="Q13" i="8" s="1"/>
  <c r="N13" i="8"/>
  <c r="P13" i="8" s="1"/>
  <c r="AA12" i="8"/>
  <c r="AC12" i="8" s="1"/>
  <c r="Z12" i="8"/>
  <c r="AB12" i="8" s="1"/>
  <c r="W12" i="8"/>
  <c r="V12" i="8"/>
  <c r="U12" i="8"/>
  <c r="T12" i="8"/>
  <c r="O12" i="8"/>
  <c r="Q12" i="8" s="1"/>
  <c r="N12" i="8"/>
  <c r="P12" i="8" s="1"/>
  <c r="AA11" i="8"/>
  <c r="AC11" i="8" s="1"/>
  <c r="Z11" i="8"/>
  <c r="AB11" i="8" s="1"/>
  <c r="W11" i="8"/>
  <c r="V11" i="8"/>
  <c r="U11" i="8"/>
  <c r="T11" i="8"/>
  <c r="O11" i="8"/>
  <c r="Q11" i="8" s="1"/>
  <c r="N11" i="8"/>
  <c r="P11" i="8" s="1"/>
  <c r="AA10" i="8"/>
  <c r="AC10" i="8" s="1"/>
  <c r="Z10" i="8"/>
  <c r="AB10" i="8" s="1"/>
  <c r="W10" i="8"/>
  <c r="V10" i="8"/>
  <c r="U10" i="8"/>
  <c r="T10" i="8"/>
  <c r="O10" i="8"/>
  <c r="Q10" i="8" s="1"/>
  <c r="N10" i="8"/>
  <c r="P10" i="8" s="1"/>
  <c r="AA9" i="8"/>
  <c r="Z9" i="8"/>
  <c r="AB9" i="8" s="1"/>
  <c r="W9" i="8"/>
  <c r="V9" i="8"/>
  <c r="U9" i="8"/>
  <c r="T9" i="8"/>
  <c r="O9" i="8"/>
  <c r="Q9" i="8" s="1"/>
  <c r="N9" i="8"/>
  <c r="P9" i="8" s="1"/>
  <c r="AA8" i="8"/>
  <c r="AC8" i="8" s="1"/>
  <c r="Z8" i="8"/>
  <c r="AB8" i="8" s="1"/>
  <c r="W8" i="8"/>
  <c r="V8" i="8"/>
  <c r="U8" i="8"/>
  <c r="T8" i="8"/>
  <c r="O8" i="8"/>
  <c r="Q8" i="8" s="1"/>
  <c r="N8" i="8"/>
  <c r="P8" i="8" s="1"/>
  <c r="AA7" i="8"/>
  <c r="AC7" i="8" s="1"/>
  <c r="Z7" i="8"/>
  <c r="AB7" i="8" s="1"/>
  <c r="W7" i="8"/>
  <c r="V7" i="8"/>
  <c r="U7" i="8"/>
  <c r="T7" i="8"/>
  <c r="O7" i="8"/>
  <c r="Q7" i="8" s="1"/>
  <c r="N7" i="8"/>
  <c r="P7" i="8" s="1"/>
  <c r="AA6" i="8"/>
  <c r="AC6" i="8" s="1"/>
  <c r="Z6" i="8"/>
  <c r="AB6" i="8" s="1"/>
  <c r="W6" i="8"/>
  <c r="V6" i="8"/>
  <c r="U6" i="8"/>
  <c r="T6" i="8"/>
  <c r="O6" i="8"/>
  <c r="Q6" i="8" s="1"/>
  <c r="N6" i="8"/>
  <c r="P6" i="8" s="1"/>
  <c r="AA5" i="8"/>
  <c r="AC5" i="8" s="1"/>
  <c r="Z5" i="8"/>
  <c r="AB5" i="8" s="1"/>
  <c r="W5" i="8"/>
  <c r="V5" i="8"/>
  <c r="U5" i="8"/>
  <c r="T5" i="8"/>
  <c r="O5" i="8"/>
  <c r="Q5" i="8" s="1"/>
  <c r="N5" i="8"/>
  <c r="P5" i="8" s="1"/>
  <c r="AA4" i="8"/>
  <c r="AC4" i="8" s="1"/>
  <c r="Z4" i="8"/>
  <c r="AB4" i="8" s="1"/>
  <c r="W4" i="8"/>
  <c r="V4" i="8"/>
  <c r="U4" i="8"/>
  <c r="T4" i="8"/>
  <c r="O4" i="8"/>
  <c r="Q4" i="8" s="1"/>
  <c r="N4" i="8"/>
  <c r="P4" i="8" s="1"/>
  <c r="AA3" i="8"/>
  <c r="Z3" i="8"/>
  <c r="AB3" i="8" s="1"/>
  <c r="W3" i="8"/>
  <c r="V3" i="8"/>
  <c r="U3" i="8"/>
  <c r="T3" i="8"/>
  <c r="O3" i="8"/>
  <c r="Q3" i="8" s="1"/>
  <c r="N3" i="8"/>
  <c r="P3" i="8" s="1"/>
  <c r="M20" i="2"/>
  <c r="M19" i="2"/>
  <c r="M18" i="2"/>
  <c r="M16" i="2"/>
  <c r="M15" i="2"/>
  <c r="M13" i="2"/>
  <c r="M11" i="2"/>
  <c r="M5" i="2"/>
  <c r="M4" i="2"/>
  <c r="M3" i="2"/>
  <c r="M17" i="2"/>
  <c r="M14" i="2"/>
  <c r="M12" i="2"/>
  <c r="M10" i="2"/>
  <c r="M8" i="2"/>
  <c r="M9" i="2"/>
  <c r="M7" i="2"/>
  <c r="M6" i="2"/>
  <c r="F34" i="6"/>
  <c r="Q3" i="5"/>
  <c r="R3" i="5"/>
  <c r="S3" i="5"/>
  <c r="T3" i="5"/>
  <c r="Q4" i="5"/>
  <c r="R4" i="5"/>
  <c r="S4" i="5"/>
  <c r="T4" i="5"/>
  <c r="Q5" i="5"/>
  <c r="R5" i="5"/>
  <c r="S5" i="5"/>
  <c r="T5" i="5"/>
  <c r="Q6" i="5"/>
  <c r="R6" i="5"/>
  <c r="S6" i="5"/>
  <c r="T6" i="5"/>
  <c r="Q7" i="5"/>
  <c r="R7" i="5"/>
  <c r="S7" i="5"/>
  <c r="T7" i="5"/>
  <c r="Q8" i="5"/>
  <c r="R8" i="5"/>
  <c r="S8" i="5"/>
  <c r="T8" i="5"/>
  <c r="Q9" i="5"/>
  <c r="R9" i="5"/>
  <c r="S9" i="5"/>
  <c r="T9" i="5"/>
  <c r="Q10" i="5"/>
  <c r="R10" i="5"/>
  <c r="S10" i="5"/>
  <c r="T10" i="5"/>
  <c r="Q11" i="5"/>
  <c r="R11" i="5"/>
  <c r="S11" i="5"/>
  <c r="T11" i="5"/>
  <c r="Q12" i="5"/>
  <c r="R12" i="5"/>
  <c r="S12" i="5"/>
  <c r="T12" i="5"/>
  <c r="Q13" i="5"/>
  <c r="R13" i="5"/>
  <c r="S13" i="5"/>
  <c r="T13" i="5"/>
  <c r="Q14" i="5"/>
  <c r="R14" i="5"/>
  <c r="S14" i="5"/>
  <c r="T14" i="5"/>
  <c r="Q15" i="5"/>
  <c r="R15" i="5"/>
  <c r="S15" i="5"/>
  <c r="T15" i="5"/>
  <c r="Q16" i="5"/>
  <c r="R16" i="5"/>
  <c r="S16" i="5"/>
  <c r="T16" i="5"/>
  <c r="Q17" i="5"/>
  <c r="R17" i="5"/>
  <c r="S17" i="5"/>
  <c r="T17" i="5"/>
  <c r="Q18" i="5"/>
  <c r="R18" i="5"/>
  <c r="S18" i="5"/>
  <c r="T18" i="5"/>
  <c r="Q19" i="5"/>
  <c r="R19" i="5"/>
  <c r="S19" i="5"/>
  <c r="T19" i="5"/>
  <c r="Q20" i="5"/>
  <c r="R20" i="5"/>
  <c r="S20" i="5"/>
  <c r="T20" i="5"/>
  <c r="T2" i="5"/>
  <c r="S2" i="5"/>
  <c r="R2" i="5"/>
  <c r="Q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M2" i="5"/>
  <c r="K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H2" i="5"/>
  <c r="F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G2" i="5"/>
  <c r="E2" i="5"/>
  <c r="I4" i="3"/>
  <c r="J4" i="3"/>
  <c r="I5" i="3"/>
  <c r="J5" i="3"/>
  <c r="I6" i="3"/>
  <c r="J6" i="3"/>
  <c r="I7" i="3"/>
  <c r="J7" i="3"/>
  <c r="J3" i="3"/>
  <c r="I3" i="3"/>
  <c r="D30" i="3"/>
  <c r="E30" i="3"/>
  <c r="F30" i="3"/>
  <c r="G30" i="3"/>
  <c r="H30" i="3"/>
  <c r="C30" i="3"/>
  <c r="C31" i="3"/>
  <c r="M5" i="4"/>
  <c r="C12" i="4" s="1"/>
  <c r="D8" i="3"/>
  <c r="E8" i="3"/>
  <c r="M12" i="3" s="1"/>
  <c r="F8" i="3"/>
  <c r="G8" i="3"/>
  <c r="H8" i="3"/>
  <c r="C8" i="3"/>
  <c r="R4" i="2"/>
  <c r="R5" i="2"/>
  <c r="R21" i="2" s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3" i="2"/>
  <c r="W9" i="2"/>
  <c r="Q21" i="2"/>
  <c r="Q36" i="2" s="1"/>
  <c r="W3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C35" i="2"/>
  <c r="C36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F2" i="1"/>
  <c r="F34" i="1"/>
  <c r="H14" i="4" l="1"/>
  <c r="G29" i="4"/>
  <c r="E25" i="4"/>
  <c r="D23" i="4"/>
  <c r="C21" i="4"/>
  <c r="H18" i="4"/>
  <c r="F16" i="4"/>
  <c r="H13" i="4"/>
  <c r="F11" i="4"/>
  <c r="F29" i="4"/>
  <c r="E27" i="4"/>
  <c r="D25" i="4"/>
  <c r="C23" i="4"/>
  <c r="H20" i="4"/>
  <c r="G18" i="4"/>
  <c r="E16" i="4"/>
  <c r="G13" i="4"/>
  <c r="G21" i="4"/>
  <c r="C25" i="4"/>
  <c r="F18" i="4"/>
  <c r="H15" i="4"/>
  <c r="F13" i="4"/>
  <c r="F30" i="4" s="1"/>
  <c r="D29" i="4"/>
  <c r="C27" i="4"/>
  <c r="H24" i="4"/>
  <c r="G22" i="4"/>
  <c r="F20" i="4"/>
  <c r="E18" i="4"/>
  <c r="G15" i="4"/>
  <c r="E13" i="4"/>
  <c r="C26" i="4"/>
  <c r="F19" i="4"/>
  <c r="G11" i="4"/>
  <c r="G30" i="4" s="1"/>
  <c r="E11" i="4"/>
  <c r="G20" i="4"/>
  <c r="G24" i="4"/>
  <c r="H17" i="4"/>
  <c r="H28" i="4"/>
  <c r="G26" i="4"/>
  <c r="F24" i="4"/>
  <c r="E22" i="4"/>
  <c r="C20" i="4"/>
  <c r="G17" i="4"/>
  <c r="E15" i="4"/>
  <c r="C13" i="4"/>
  <c r="E28" i="4"/>
  <c r="D17" i="4"/>
  <c r="D11" i="4"/>
  <c r="F27" i="4"/>
  <c r="D27" i="4"/>
  <c r="C29" i="4"/>
  <c r="F22" i="4"/>
  <c r="D13" i="4"/>
  <c r="G28" i="4"/>
  <c r="F26" i="4"/>
  <c r="E24" i="4"/>
  <c r="C22" i="4"/>
  <c r="H19" i="4"/>
  <c r="F17" i="4"/>
  <c r="D15" i="4"/>
  <c r="H12" i="4"/>
  <c r="F12" i="4"/>
  <c r="C11" i="4"/>
  <c r="E29" i="4"/>
  <c r="H22" i="4"/>
  <c r="H26" i="4"/>
  <c r="E20" i="4"/>
  <c r="F15" i="4"/>
  <c r="F28" i="4"/>
  <c r="E26" i="4"/>
  <c r="C24" i="4"/>
  <c r="H21" i="4"/>
  <c r="G19" i="4"/>
  <c r="E17" i="4"/>
  <c r="C15" i="4"/>
  <c r="G12" i="4"/>
  <c r="C28" i="4"/>
  <c r="H25" i="4"/>
  <c r="G23" i="4"/>
  <c r="F21" i="4"/>
  <c r="E19" i="4"/>
  <c r="C17" i="4"/>
  <c r="G14" i="4"/>
  <c r="E12" i="4"/>
  <c r="E30" i="4" s="1"/>
  <c r="H23" i="4"/>
  <c r="H27" i="4"/>
  <c r="G25" i="4"/>
  <c r="F23" i="4"/>
  <c r="E21" i="4"/>
  <c r="D19" i="4"/>
  <c r="H16" i="4"/>
  <c r="F14" i="4"/>
  <c r="H11" i="4"/>
  <c r="H30" i="4" s="1"/>
  <c r="H29" i="4"/>
  <c r="G27" i="4"/>
  <c r="F25" i="4"/>
  <c r="E23" i="4"/>
  <c r="D21" i="4"/>
  <c r="C19" i="4"/>
  <c r="G16" i="4"/>
  <c r="E14" i="4"/>
  <c r="D28" i="4"/>
  <c r="D26" i="4"/>
  <c r="D24" i="4"/>
  <c r="D22" i="4"/>
  <c r="D20" i="4"/>
  <c r="D18" i="4"/>
  <c r="D16" i="4"/>
  <c r="D14" i="4"/>
  <c r="D12" i="4"/>
  <c r="C18" i="4"/>
  <c r="C16" i="4"/>
  <c r="C14" i="4"/>
  <c r="L12" i="3"/>
  <c r="P12" i="3"/>
  <c r="O12" i="3"/>
  <c r="N12" i="3"/>
  <c r="M16" i="3" s="1"/>
  <c r="M18" i="3" s="1"/>
  <c r="K12" i="3"/>
  <c r="K16" i="3" s="1"/>
  <c r="K18" i="3" s="1"/>
  <c r="J17" i="2"/>
  <c r="J36" i="2"/>
  <c r="D35" i="2"/>
  <c r="C30" i="4" l="1"/>
  <c r="D30" i="4"/>
  <c r="O16" i="3"/>
  <c r="O18" i="3" s="1"/>
  <c r="Q18" i="3" s="1"/>
  <c r="E6" i="4"/>
  <c r="E7" i="4"/>
  <c r="D4" i="4"/>
  <c r="C4" i="4"/>
  <c r="H7" i="4"/>
  <c r="F6" i="4"/>
  <c r="E3" i="4"/>
  <c r="H3" i="4"/>
  <c r="G4" i="4"/>
  <c r="C3" i="4"/>
  <c r="C6" i="4"/>
  <c r="I6" i="4" s="1"/>
  <c r="E5" i="4"/>
  <c r="H6" i="4"/>
  <c r="G6" i="4"/>
  <c r="D7" i="4"/>
  <c r="C5" i="4"/>
  <c r="D6" i="4"/>
  <c r="C7" i="4"/>
  <c r="I7" i="4" s="1"/>
  <c r="D3" i="4"/>
  <c r="J3" i="4" s="1"/>
  <c r="G3" i="4"/>
  <c r="G5" i="4"/>
  <c r="F4" i="4"/>
  <c r="E4" i="4"/>
  <c r="D5" i="4"/>
  <c r="H5" i="4"/>
  <c r="F5" i="4"/>
  <c r="F3" i="4"/>
  <c r="F7" i="4"/>
  <c r="G7" i="4"/>
  <c r="H4" i="4"/>
  <c r="I3" i="4" l="1"/>
  <c r="J6" i="4"/>
  <c r="I5" i="4"/>
  <c r="J7" i="4"/>
  <c r="I4" i="4"/>
  <c r="J4" i="4"/>
  <c r="J5" i="4"/>
  <c r="H8" i="4"/>
  <c r="P13" i="4" s="1"/>
  <c r="G8" i="4"/>
  <c r="D8" i="4"/>
  <c r="L13" i="4" s="1"/>
  <c r="E8" i="4"/>
  <c r="M13" i="4" s="1"/>
  <c r="F8" i="4"/>
  <c r="N13" i="4" s="1"/>
  <c r="C8" i="4"/>
  <c r="K13" i="4" s="1"/>
  <c r="O13" i="4" l="1"/>
  <c r="O17" i="4" s="1"/>
  <c r="O19" i="4" s="1"/>
  <c r="K17" i="4"/>
  <c r="K19" i="4" s="1"/>
  <c r="M17" i="4"/>
  <c r="M19" i="4" s="1"/>
  <c r="Q19" i="4" l="1"/>
</calcChain>
</file>

<file path=xl/sharedStrings.xml><?xml version="1.0" encoding="utf-8"?>
<sst xmlns="http://schemas.openxmlformats.org/spreadsheetml/2006/main" count="501" uniqueCount="210">
  <si>
    <t>Linha</t>
  </si>
  <si>
    <t>De → Para</t>
  </si>
  <si>
    <t>Fases</t>
  </si>
  <si>
    <t>Comprimento (mi)</t>
  </si>
  <si>
    <t>L1</t>
  </si>
  <si>
    <t>800 → 802</t>
  </si>
  <si>
    <t>L2</t>
  </si>
  <si>
    <t>802 → 806</t>
  </si>
  <si>
    <t>L3</t>
  </si>
  <si>
    <t>806 → 808</t>
  </si>
  <si>
    <t>L4</t>
  </si>
  <si>
    <t>808 → 810</t>
  </si>
  <si>
    <t>L5</t>
  </si>
  <si>
    <t>808 → 812</t>
  </si>
  <si>
    <t>L6</t>
  </si>
  <si>
    <t>812 → 814</t>
  </si>
  <si>
    <t>L7</t>
  </si>
  <si>
    <t>814r → 850</t>
  </si>
  <si>
    <t>L8</t>
  </si>
  <si>
    <t>816 → 818</t>
  </si>
  <si>
    <t>L9</t>
  </si>
  <si>
    <t>816 → 824</t>
  </si>
  <si>
    <t>L10</t>
  </si>
  <si>
    <t>818 → 820</t>
  </si>
  <si>
    <t>L11</t>
  </si>
  <si>
    <t>820 → 822</t>
  </si>
  <si>
    <t>L12</t>
  </si>
  <si>
    <t>824 → 826</t>
  </si>
  <si>
    <t>L13</t>
  </si>
  <si>
    <t>824 → 828</t>
  </si>
  <si>
    <t>L14</t>
  </si>
  <si>
    <t>828 → 830</t>
  </si>
  <si>
    <t>L15</t>
  </si>
  <si>
    <t>830 → 854</t>
  </si>
  <si>
    <t>L16</t>
  </si>
  <si>
    <t>832 → 858</t>
  </si>
  <si>
    <t>L17</t>
  </si>
  <si>
    <t>834 → 860</t>
  </si>
  <si>
    <t>L18</t>
  </si>
  <si>
    <t>834 → 842</t>
  </si>
  <si>
    <t>L19</t>
  </si>
  <si>
    <t>836 → 840</t>
  </si>
  <si>
    <t>L20</t>
  </si>
  <si>
    <t>836 → 862</t>
  </si>
  <si>
    <t>L21</t>
  </si>
  <si>
    <t>842 → 844</t>
  </si>
  <si>
    <t>L22</t>
  </si>
  <si>
    <t>844 → 846</t>
  </si>
  <si>
    <t>L23</t>
  </si>
  <si>
    <t>846 → 848</t>
  </si>
  <si>
    <t>L24</t>
  </si>
  <si>
    <t>850 → 816</t>
  </si>
  <si>
    <t>L25</t>
  </si>
  <si>
    <t>852r → 832</t>
  </si>
  <si>
    <t>L26</t>
  </si>
  <si>
    <t>854 → 856</t>
  </si>
  <si>
    <t>L27</t>
  </si>
  <si>
    <t>854 → 852</t>
  </si>
  <si>
    <t>L28</t>
  </si>
  <si>
    <t>858 → 864</t>
  </si>
  <si>
    <t>L29</t>
  </si>
  <si>
    <t>858 → 834</t>
  </si>
  <si>
    <t>L30</t>
  </si>
  <si>
    <t>860 → 836</t>
  </si>
  <si>
    <t>L31</t>
  </si>
  <si>
    <t>862 → 838</t>
  </si>
  <si>
    <t>L32</t>
  </si>
  <si>
    <t>888 → 890</t>
  </si>
  <si>
    <t>BUS A</t>
  </si>
  <si>
    <t>BUS B</t>
  </si>
  <si>
    <t>LENGTH (FT.)</t>
  </si>
  <si>
    <t>CONFIG. CODE</t>
  </si>
  <si>
    <t>LENGTH(MI.)</t>
  </si>
  <si>
    <t xml:space="preserve"> Função Objetivo</t>
  </si>
  <si>
    <t>PH-1 KW</t>
  </si>
  <si>
    <t>PH1- KVAR</t>
  </si>
  <si>
    <t>PH-2 KW</t>
  </si>
  <si>
    <t>PH2- KVAR</t>
  </si>
  <si>
    <t>PH-3 KW</t>
  </si>
  <si>
    <t>PH3- KVAR</t>
  </si>
  <si>
    <t>Total Ph1 KW</t>
  </si>
  <si>
    <t>Total Ph1 KVAR</t>
  </si>
  <si>
    <t>Total Ph2 KW</t>
  </si>
  <si>
    <t>Total Ph2 KVAR</t>
  </si>
  <si>
    <t>Total Ph3 KW</t>
  </si>
  <si>
    <t>Total Ph3 KVAR</t>
  </si>
  <si>
    <t>Potencia Aparente PH1</t>
  </si>
  <si>
    <t>Potencia Aparente PH2</t>
  </si>
  <si>
    <t>Potencia Aparente PH3</t>
  </si>
  <si>
    <t>Corrente de Fase 1</t>
  </si>
  <si>
    <t>Corrente de Fase 2</t>
  </si>
  <si>
    <t>Corrente de Fase 3</t>
  </si>
  <si>
    <t>SOMA</t>
  </si>
  <si>
    <t xml:space="preserve">Fator </t>
  </si>
  <si>
    <t>PH-1 KVAR</t>
  </si>
  <si>
    <t>PH-2 KVAR</t>
  </si>
  <si>
    <t>PH-3 KVAR</t>
  </si>
  <si>
    <t>Total</t>
  </si>
  <si>
    <t>BUS</t>
  </si>
  <si>
    <t>SOMA KW</t>
  </si>
  <si>
    <t>SOMA KVAR</t>
  </si>
  <si>
    <t>SB KW</t>
  </si>
  <si>
    <t>SBKVAR</t>
  </si>
  <si>
    <t>RB KW</t>
  </si>
  <si>
    <t>RB KVAR</t>
  </si>
  <si>
    <t>Bus 1</t>
  </si>
  <si>
    <t>Bus 2</t>
  </si>
  <si>
    <t>LineCode</t>
  </si>
  <si>
    <t>800.1.2.3</t>
  </si>
  <si>
    <t>802.1.2.3</t>
  </si>
  <si>
    <t>806.1.2.3</t>
  </si>
  <si>
    <t>808.1.2.3</t>
  </si>
  <si>
    <t>812.1.2.3</t>
  </si>
  <si>
    <t>814.1.2.3</t>
  </si>
  <si>
    <t>814r.1.2.3</t>
  </si>
  <si>
    <t>850.1.2.3</t>
  </si>
  <si>
    <t>816.1.2.3</t>
  </si>
  <si>
    <t>824.1.2.3</t>
  </si>
  <si>
    <t>828.1.2.3</t>
  </si>
  <si>
    <t>830.1.2.3</t>
  </si>
  <si>
    <t>854.1.2.3</t>
  </si>
  <si>
    <t>832.1.2.3</t>
  </si>
  <si>
    <t>858.1.2.3</t>
  </si>
  <si>
    <t>834.1.2.3</t>
  </si>
  <si>
    <t>860.1.2.3</t>
  </si>
  <si>
    <t>842.1.2.3</t>
  </si>
  <si>
    <t>836.1.2.3</t>
  </si>
  <si>
    <t>840.1.2.3</t>
  </si>
  <si>
    <t>862.1.2.3</t>
  </si>
  <si>
    <t>844.1.2.3</t>
  </si>
  <si>
    <t>846.1.2.3</t>
  </si>
  <si>
    <t>848.1.2.3</t>
  </si>
  <si>
    <t>852r.1.2.3</t>
  </si>
  <si>
    <t>852.1.2.3</t>
  </si>
  <si>
    <t>888.1.2.3</t>
  </si>
  <si>
    <t>890.1.2.3</t>
  </si>
  <si>
    <t>Nome da Carga</t>
  </si>
  <si>
    <t>Barramento</t>
  </si>
  <si>
    <t>Conexão</t>
  </si>
  <si>
    <t>Modelo</t>
  </si>
  <si>
    <t>kV</t>
  </si>
  <si>
    <t>kW</t>
  </si>
  <si>
    <t>kVAR</t>
  </si>
  <si>
    <t>S860</t>
  </si>
  <si>
    <t>Wye</t>
  </si>
  <si>
    <t>S840</t>
  </si>
  <si>
    <t>S844</t>
  </si>
  <si>
    <t>S848</t>
  </si>
  <si>
    <t>Delta</t>
  </si>
  <si>
    <t>S890</t>
  </si>
  <si>
    <t>D802_806sb</t>
  </si>
  <si>
    <t>D802_806rb</t>
  </si>
  <si>
    <t>D802_806sc</t>
  </si>
  <si>
    <t>D802_806rc</t>
  </si>
  <si>
    <t>D808_810sb</t>
  </si>
  <si>
    <t>D808_810rb</t>
  </si>
  <si>
    <t>D818_820sa</t>
  </si>
  <si>
    <t>D818_820ra</t>
  </si>
  <si>
    <t>D820_822sa</t>
  </si>
  <si>
    <t>D820_822ra</t>
  </si>
  <si>
    <t>D816_824sb</t>
  </si>
  <si>
    <t>D816_824rb</t>
  </si>
  <si>
    <t>D824_826sb</t>
  </si>
  <si>
    <t>D824_826rb</t>
  </si>
  <si>
    <t>D824_828sc</t>
  </si>
  <si>
    <t>D824_828rc</t>
  </si>
  <si>
    <t>D828_830sa</t>
  </si>
  <si>
    <t>D828_830ra</t>
  </si>
  <si>
    <t>D854_856sb</t>
  </si>
  <si>
    <t>D854_856rb</t>
  </si>
  <si>
    <t>D832_858sa</t>
  </si>
  <si>
    <t>D832_858ra</t>
  </si>
  <si>
    <t>D832_858sb</t>
  </si>
  <si>
    <t>D832_858rb</t>
  </si>
  <si>
    <t>D832_858sc</t>
  </si>
  <si>
    <t>D832_858rc</t>
  </si>
  <si>
    <t>D858_864sb</t>
  </si>
  <si>
    <t>D858_864rb</t>
  </si>
  <si>
    <t>D858_834sa</t>
  </si>
  <si>
    <t>D858_834ra</t>
  </si>
  <si>
    <t>D858_834sb</t>
  </si>
  <si>
    <t>D858_834rb</t>
  </si>
  <si>
    <t>D858_834sc</t>
  </si>
  <si>
    <t>D858_834rc</t>
  </si>
  <si>
    <t>D834_860sa</t>
  </si>
  <si>
    <t>D834_860ra</t>
  </si>
  <si>
    <t>D834_860sb</t>
  </si>
  <si>
    <t>D834_860rb</t>
  </si>
  <si>
    <t>D834_860sc</t>
  </si>
  <si>
    <t>D834_860rc</t>
  </si>
  <si>
    <t>D860_836sa</t>
  </si>
  <si>
    <t>D860_836ra</t>
  </si>
  <si>
    <t>D860_836sb</t>
  </si>
  <si>
    <t>D860_836rb</t>
  </si>
  <si>
    <t>D860_836sc</t>
  </si>
  <si>
    <t>D860_836rc</t>
  </si>
  <si>
    <t>D836_840sa</t>
  </si>
  <si>
    <t>D836_840ra</t>
  </si>
  <si>
    <t>D836_840sb</t>
  </si>
  <si>
    <t>D836_840rb</t>
  </si>
  <si>
    <t>D862_838sa</t>
  </si>
  <si>
    <t>D862_838ra</t>
  </si>
  <si>
    <t>D842_844sa</t>
  </si>
  <si>
    <t>D842_844ra</t>
  </si>
  <si>
    <t>D844_846sb</t>
  </si>
  <si>
    <t>D844_846rb</t>
  </si>
  <si>
    <t>D844_846sc</t>
  </si>
  <si>
    <t>D844_846rc</t>
  </si>
  <si>
    <t>D846_848sb</t>
  </si>
  <si>
    <t>D846_848rb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</si>
</sst>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i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3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65" fontId="2" fillId="2" borderId="11" xfId="0" applyNumberFormat="1" applyFont="1" applyFill="1" applyBorder="1" applyAlignment="1">
      <alignment vertical="center" wrapText="1"/>
    </xf>
    <xf numFmtId="1" fontId="2" fillId="2" borderId="1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165" fontId="2" fillId="3" borderId="11" xfId="0" applyNumberFormat="1" applyFont="1" applyFill="1" applyBorder="1" applyAlignment="1">
      <alignment vertical="center" wrapText="1"/>
    </xf>
    <xf numFmtId="1" fontId="2" fillId="3" borderId="1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 wrapText="1"/>
    </xf>
    <xf numFmtId="0" fontId="0" fillId="6" borderId="0" xfId="0" applyFill="1"/>
    <xf numFmtId="0" fontId="2" fillId="6" borderId="1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164" fontId="2" fillId="7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2" xfId="0" applyFill="1" applyBorder="1"/>
    <xf numFmtId="1" fontId="0" fillId="2" borderId="13" xfId="0" applyNumberFormat="1" applyFill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2" fontId="0" fillId="0" borderId="14" xfId="0" applyNumberForma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96B0-B710-4D9A-8E3A-D561306D6FF3}">
  <dimension ref="A1:F34"/>
  <sheetViews>
    <sheetView workbookViewId="0">
      <selection activeCell="F2" sqref="F2"/>
    </sheetView>
  </sheetViews>
  <sheetFormatPr defaultRowHeight="14.4" x14ac:dyDescent="0.3"/>
  <cols>
    <col min="1" max="1" width="5.5546875" bestFit="1" customWidth="1"/>
    <col min="2" max="2" width="6.88671875" bestFit="1" customWidth="1"/>
    <col min="3" max="3" width="5.44140625" bestFit="1" customWidth="1"/>
    <col min="4" max="4" width="8.777343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ht="28.8" x14ac:dyDescent="0.3">
      <c r="A2" s="2" t="s">
        <v>4</v>
      </c>
      <c r="B2" s="2" t="s">
        <v>5</v>
      </c>
      <c r="C2" s="2">
        <v>3</v>
      </c>
      <c r="D2" s="2">
        <v>0.48799999999999999</v>
      </c>
      <c r="F2">
        <f>D2+D3+D4+D6</f>
        <v>14.015649999999999</v>
      </c>
    </row>
    <row r="3" spans="1:6" ht="28.8" x14ac:dyDescent="0.3">
      <c r="A3" s="2" t="s">
        <v>6</v>
      </c>
      <c r="B3" s="2" t="s">
        <v>7</v>
      </c>
      <c r="C3" s="2">
        <v>3</v>
      </c>
      <c r="D3" s="2">
        <v>0.32765</v>
      </c>
    </row>
    <row r="4" spans="1:6" ht="28.8" x14ac:dyDescent="0.3">
      <c r="A4" s="2" t="s">
        <v>8</v>
      </c>
      <c r="B4" s="2" t="s">
        <v>9</v>
      </c>
      <c r="C4" s="2">
        <v>3</v>
      </c>
      <c r="D4" s="2">
        <v>6.1</v>
      </c>
    </row>
    <row r="5" spans="1:6" ht="28.8" x14ac:dyDescent="0.3">
      <c r="A5" s="2" t="s">
        <v>10</v>
      </c>
      <c r="B5" s="2" t="s">
        <v>11</v>
      </c>
      <c r="C5" s="2">
        <v>1</v>
      </c>
      <c r="D5" s="2">
        <v>1.099</v>
      </c>
    </row>
    <row r="6" spans="1:6" ht="28.8" x14ac:dyDescent="0.3">
      <c r="A6" s="2" t="s">
        <v>12</v>
      </c>
      <c r="B6" s="2" t="s">
        <v>13</v>
      </c>
      <c r="C6" s="2">
        <v>3</v>
      </c>
      <c r="D6" s="2">
        <v>7.1</v>
      </c>
    </row>
    <row r="7" spans="1:6" ht="28.8" x14ac:dyDescent="0.3">
      <c r="A7" s="2" t="s">
        <v>14</v>
      </c>
      <c r="B7" s="2" t="s">
        <v>15</v>
      </c>
      <c r="C7" s="2">
        <v>3</v>
      </c>
      <c r="D7" s="2">
        <v>5.63</v>
      </c>
    </row>
    <row r="8" spans="1:6" ht="28.8" x14ac:dyDescent="0.3">
      <c r="A8" s="2" t="s">
        <v>16</v>
      </c>
      <c r="B8" s="2" t="s">
        <v>17</v>
      </c>
      <c r="C8" s="2">
        <v>3</v>
      </c>
      <c r="D8" s="2">
        <v>1.89E-3</v>
      </c>
    </row>
    <row r="9" spans="1:6" ht="28.8" x14ac:dyDescent="0.3">
      <c r="A9" s="2" t="s">
        <v>18</v>
      </c>
      <c r="B9" s="2" t="s">
        <v>19</v>
      </c>
      <c r="C9" s="2">
        <v>1</v>
      </c>
      <c r="D9" s="2">
        <v>0.32385999999999998</v>
      </c>
    </row>
    <row r="10" spans="1:6" ht="28.8" x14ac:dyDescent="0.3">
      <c r="A10" s="2" t="s">
        <v>20</v>
      </c>
      <c r="B10" s="2" t="s">
        <v>21</v>
      </c>
      <c r="C10" s="2">
        <v>3</v>
      </c>
      <c r="D10" s="2">
        <v>1.93</v>
      </c>
    </row>
    <row r="11" spans="1:6" ht="28.8" x14ac:dyDescent="0.3">
      <c r="A11" s="2" t="s">
        <v>22</v>
      </c>
      <c r="B11" s="2" t="s">
        <v>23</v>
      </c>
      <c r="C11" s="2">
        <v>1</v>
      </c>
      <c r="D11" s="2">
        <v>9.1199999999999992</v>
      </c>
    </row>
    <row r="12" spans="1:6" ht="28.8" x14ac:dyDescent="0.3">
      <c r="A12" s="2" t="s">
        <v>24</v>
      </c>
      <c r="B12" s="2" t="s">
        <v>25</v>
      </c>
      <c r="C12" s="2">
        <v>1</v>
      </c>
      <c r="D12" s="2">
        <v>2.6</v>
      </c>
    </row>
    <row r="13" spans="1:6" ht="28.8" x14ac:dyDescent="0.3">
      <c r="A13" s="2" t="s">
        <v>26</v>
      </c>
      <c r="B13" s="2" t="s">
        <v>27</v>
      </c>
      <c r="C13" s="2">
        <v>1</v>
      </c>
      <c r="D13" s="2">
        <v>0.57386000000000004</v>
      </c>
    </row>
    <row r="14" spans="1:6" ht="28.8" x14ac:dyDescent="0.3">
      <c r="A14" s="2" t="s">
        <v>28</v>
      </c>
      <c r="B14" s="2" t="s">
        <v>29</v>
      </c>
      <c r="C14" s="2">
        <v>3</v>
      </c>
      <c r="D14" s="2">
        <v>0.15909000000000001</v>
      </c>
    </row>
    <row r="15" spans="1:6" ht="28.8" x14ac:dyDescent="0.3">
      <c r="A15" s="2" t="s">
        <v>30</v>
      </c>
      <c r="B15" s="2" t="s">
        <v>31</v>
      </c>
      <c r="C15" s="2">
        <v>3</v>
      </c>
      <c r="D15" s="2">
        <v>3.87121</v>
      </c>
    </row>
    <row r="16" spans="1:6" ht="28.8" x14ac:dyDescent="0.3">
      <c r="A16" s="2" t="s">
        <v>32</v>
      </c>
      <c r="B16" s="2" t="s">
        <v>33</v>
      </c>
      <c r="C16" s="2">
        <v>3</v>
      </c>
      <c r="D16" s="2">
        <v>0.1</v>
      </c>
    </row>
    <row r="17" spans="1:4" ht="28.8" x14ac:dyDescent="0.3">
      <c r="A17" s="2" t="s">
        <v>34</v>
      </c>
      <c r="B17" s="2" t="s">
        <v>35</v>
      </c>
      <c r="C17" s="2">
        <v>3</v>
      </c>
      <c r="D17" s="2">
        <v>0.93</v>
      </c>
    </row>
    <row r="18" spans="1:4" ht="28.8" x14ac:dyDescent="0.3">
      <c r="A18" s="2" t="s">
        <v>36</v>
      </c>
      <c r="B18" s="2" t="s">
        <v>37</v>
      </c>
      <c r="C18" s="2">
        <v>3</v>
      </c>
      <c r="D18" s="2">
        <v>0.38257000000000002</v>
      </c>
    </row>
    <row r="19" spans="1:4" ht="28.8" x14ac:dyDescent="0.3">
      <c r="A19" s="2" t="s">
        <v>38</v>
      </c>
      <c r="B19" s="2" t="s">
        <v>39</v>
      </c>
      <c r="C19" s="2">
        <v>3</v>
      </c>
      <c r="D19" s="2">
        <v>0.05</v>
      </c>
    </row>
    <row r="20" spans="1:4" ht="28.8" x14ac:dyDescent="0.3">
      <c r="A20" s="2" t="s">
        <v>40</v>
      </c>
      <c r="B20" s="2" t="s">
        <v>41</v>
      </c>
      <c r="C20" s="2">
        <v>3</v>
      </c>
      <c r="D20" s="2">
        <v>0.16</v>
      </c>
    </row>
    <row r="21" spans="1:4" ht="28.8" x14ac:dyDescent="0.3">
      <c r="A21" s="2" t="s">
        <v>42</v>
      </c>
      <c r="B21" s="2" t="s">
        <v>43</v>
      </c>
      <c r="C21" s="2">
        <v>3</v>
      </c>
      <c r="D21" s="2">
        <v>5.3030000000000001E-2</v>
      </c>
    </row>
    <row r="22" spans="1:4" ht="28.8" x14ac:dyDescent="0.3">
      <c r="A22" s="2" t="s">
        <v>44</v>
      </c>
      <c r="B22" s="2" t="s">
        <v>45</v>
      </c>
      <c r="C22" s="2">
        <v>3</v>
      </c>
      <c r="D22" s="2">
        <v>0.25568000000000002</v>
      </c>
    </row>
    <row r="23" spans="1:4" ht="28.8" x14ac:dyDescent="0.3">
      <c r="A23" s="2" t="s">
        <v>46</v>
      </c>
      <c r="B23" s="2" t="s">
        <v>47</v>
      </c>
      <c r="C23" s="2">
        <v>3</v>
      </c>
      <c r="D23" s="2">
        <v>0.69</v>
      </c>
    </row>
    <row r="24" spans="1:4" ht="28.8" x14ac:dyDescent="0.3">
      <c r="A24" s="2" t="s">
        <v>48</v>
      </c>
      <c r="B24" s="2" t="s">
        <v>49</v>
      </c>
      <c r="C24" s="2">
        <v>3</v>
      </c>
      <c r="D24" s="2">
        <v>0.1</v>
      </c>
    </row>
    <row r="25" spans="1:4" ht="28.8" x14ac:dyDescent="0.3">
      <c r="A25" s="2" t="s">
        <v>50</v>
      </c>
      <c r="B25" s="2" t="s">
        <v>51</v>
      </c>
      <c r="C25" s="2">
        <v>3</v>
      </c>
      <c r="D25" s="2">
        <v>0.06</v>
      </c>
    </row>
    <row r="26" spans="1:4" ht="28.8" x14ac:dyDescent="0.3">
      <c r="A26" s="2" t="s">
        <v>52</v>
      </c>
      <c r="B26" s="2" t="s">
        <v>53</v>
      </c>
      <c r="C26" s="2">
        <v>3</v>
      </c>
      <c r="D26" s="2">
        <v>1.9E-3</v>
      </c>
    </row>
    <row r="27" spans="1:4" ht="28.8" x14ac:dyDescent="0.3">
      <c r="A27" s="2" t="s">
        <v>54</v>
      </c>
      <c r="B27" s="2" t="s">
        <v>55</v>
      </c>
      <c r="C27" s="2">
        <v>1</v>
      </c>
      <c r="D27" s="2">
        <v>4.4185600000000003</v>
      </c>
    </row>
    <row r="28" spans="1:4" ht="28.8" x14ac:dyDescent="0.3">
      <c r="A28" s="2" t="s">
        <v>56</v>
      </c>
      <c r="B28" s="2" t="s">
        <v>57</v>
      </c>
      <c r="C28" s="2">
        <v>3</v>
      </c>
      <c r="D28" s="2">
        <v>6.9753699999999998</v>
      </c>
    </row>
    <row r="29" spans="1:4" ht="28.8" x14ac:dyDescent="0.3">
      <c r="A29" s="2" t="s">
        <v>58</v>
      </c>
      <c r="B29" s="2" t="s">
        <v>59</v>
      </c>
      <c r="C29" s="2">
        <v>1</v>
      </c>
      <c r="D29" s="2">
        <v>0.30681000000000003</v>
      </c>
    </row>
    <row r="30" spans="1:4" ht="28.8" x14ac:dyDescent="0.3">
      <c r="A30" s="2" t="s">
        <v>60</v>
      </c>
      <c r="B30" s="2" t="s">
        <v>61</v>
      </c>
      <c r="C30" s="2">
        <v>3</v>
      </c>
      <c r="D30" s="2">
        <v>1.10416</v>
      </c>
    </row>
    <row r="31" spans="1:4" ht="28.8" x14ac:dyDescent="0.3">
      <c r="A31" s="2" t="s">
        <v>62</v>
      </c>
      <c r="B31" s="2" t="s">
        <v>63</v>
      </c>
      <c r="C31" s="2">
        <v>3</v>
      </c>
      <c r="D31" s="2">
        <v>0.50756999999999997</v>
      </c>
    </row>
    <row r="32" spans="1:4" ht="28.8" x14ac:dyDescent="0.3">
      <c r="A32" s="2" t="s">
        <v>64</v>
      </c>
      <c r="B32" s="2" t="s">
        <v>65</v>
      </c>
      <c r="C32" s="2">
        <v>1</v>
      </c>
      <c r="D32" s="2">
        <v>0.92044999999999999</v>
      </c>
    </row>
    <row r="33" spans="1:6" ht="28.8" x14ac:dyDescent="0.3">
      <c r="A33" s="2" t="s">
        <v>66</v>
      </c>
      <c r="B33" s="2" t="s">
        <v>67</v>
      </c>
      <c r="C33" s="2">
        <v>3</v>
      </c>
      <c r="D33" s="2">
        <v>2</v>
      </c>
    </row>
    <row r="34" spans="1:6" x14ac:dyDescent="0.3">
      <c r="F34">
        <f>SUM(D2:D33)</f>
        <v>58.340659999999993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6203-CD3D-4DAB-B274-5BDF675C0436}">
  <dimension ref="A1:AD36"/>
  <sheetViews>
    <sheetView topLeftCell="B13" zoomScale="70" zoomScaleNormal="70" workbookViewId="0">
      <selection activeCell="V5" sqref="V5"/>
    </sheetView>
  </sheetViews>
  <sheetFormatPr defaultRowHeight="14.4" x14ac:dyDescent="0.3"/>
  <cols>
    <col min="4" max="4" width="9.77734375" customWidth="1"/>
    <col min="10" max="10" width="12.6640625" bestFit="1" customWidth="1"/>
    <col min="13" max="13" width="16.77734375" customWidth="1"/>
    <col min="14" max="14" width="15.109375" bestFit="1" customWidth="1"/>
    <col min="17" max="18" width="11.21875" customWidth="1"/>
    <col min="22" max="22" width="16.5546875" customWidth="1"/>
  </cols>
  <sheetData>
    <row r="1" spans="1:30" ht="28.2" thickBot="1" x14ac:dyDescent="0.35">
      <c r="A1" s="3" t="s">
        <v>68</v>
      </c>
      <c r="B1" s="3" t="s">
        <v>69</v>
      </c>
      <c r="C1" s="3" t="s">
        <v>70</v>
      </c>
      <c r="D1" s="3" t="s">
        <v>72</v>
      </c>
      <c r="E1" s="3" t="s">
        <v>71</v>
      </c>
    </row>
    <row r="2" spans="1:30" ht="42" thickBot="1" x14ac:dyDescent="0.35">
      <c r="A2" s="4">
        <v>800</v>
      </c>
      <c r="B2" s="4">
        <v>802</v>
      </c>
      <c r="C2" s="4">
        <v>2580</v>
      </c>
      <c r="D2" s="4">
        <f>C2/5280</f>
        <v>0.48863636363636365</v>
      </c>
      <c r="E2" s="4">
        <v>301</v>
      </c>
      <c r="Y2" s="3" t="s">
        <v>0</v>
      </c>
      <c r="Z2" s="3" t="s">
        <v>2</v>
      </c>
      <c r="AA2" s="3" t="s">
        <v>105</v>
      </c>
      <c r="AB2" s="3" t="s">
        <v>106</v>
      </c>
      <c r="AC2" s="3" t="s">
        <v>107</v>
      </c>
      <c r="AD2" s="3" t="s">
        <v>3</v>
      </c>
    </row>
    <row r="3" spans="1:30" ht="28.2" thickBot="1" x14ac:dyDescent="0.35">
      <c r="A3" s="4">
        <v>802</v>
      </c>
      <c r="B3" s="4">
        <v>806</v>
      </c>
      <c r="C3" s="4">
        <v>1730</v>
      </c>
      <c r="D3" s="4">
        <f t="shared" ref="D3:D34" si="0">C3/5280</f>
        <v>0.32765151515151514</v>
      </c>
      <c r="E3" s="4">
        <v>301</v>
      </c>
      <c r="G3" s="4">
        <v>812</v>
      </c>
      <c r="H3" s="4">
        <v>814</v>
      </c>
      <c r="I3" s="4">
        <v>29730</v>
      </c>
      <c r="J3" s="4">
        <f t="shared" ref="J3:J16" si="1">I3/5280</f>
        <v>5.6306818181818183</v>
      </c>
      <c r="K3" s="4">
        <v>301</v>
      </c>
      <c r="L3" s="7"/>
      <c r="M3" t="str">
        <f>Y8</f>
        <v>L6</v>
      </c>
      <c r="N3" s="4">
        <v>812</v>
      </c>
      <c r="O3" s="4">
        <v>814</v>
      </c>
      <c r="P3" s="4"/>
      <c r="Q3" s="4">
        <v>5.6306818181818183</v>
      </c>
      <c r="R3" s="13">
        <f>Q3/2.4039</f>
        <v>2.3423111685934597</v>
      </c>
      <c r="S3" s="4">
        <v>301</v>
      </c>
      <c r="V3" s="11" t="s">
        <v>73</v>
      </c>
      <c r="W3" s="12">
        <f>P3+P4+P5+P6+P7+P8+P9+P10+P11+P12+P13+P14+P15+P16+P17+P18+P19+P20</f>
        <v>0</v>
      </c>
      <c r="Y3" s="3" t="s">
        <v>4</v>
      </c>
      <c r="Z3" s="4">
        <v>3</v>
      </c>
      <c r="AA3" s="4" t="s">
        <v>108</v>
      </c>
      <c r="AB3" s="4" t="s">
        <v>109</v>
      </c>
      <c r="AC3" s="4">
        <v>300</v>
      </c>
      <c r="AD3" s="4">
        <v>0.48799999999999999</v>
      </c>
    </row>
    <row r="4" spans="1:30" ht="28.2" thickBot="1" x14ac:dyDescent="0.35">
      <c r="A4" s="4">
        <v>806</v>
      </c>
      <c r="B4" s="4">
        <v>808</v>
      </c>
      <c r="C4" s="4">
        <v>32230</v>
      </c>
      <c r="D4" s="4">
        <f t="shared" si="0"/>
        <v>6.104166666666667</v>
      </c>
      <c r="E4" s="4">
        <v>301</v>
      </c>
      <c r="G4" s="4">
        <v>814</v>
      </c>
      <c r="H4" s="4">
        <v>850</v>
      </c>
      <c r="I4" s="4">
        <v>10</v>
      </c>
      <c r="J4" s="4">
        <f t="shared" si="1"/>
        <v>1.893939393939394E-3</v>
      </c>
      <c r="K4" s="4">
        <v>301</v>
      </c>
      <c r="L4" s="7"/>
      <c r="M4" t="str">
        <f>Y9</f>
        <v>L7</v>
      </c>
      <c r="N4" s="4">
        <v>814</v>
      </c>
      <c r="O4" s="4">
        <v>850</v>
      </c>
      <c r="P4" s="4"/>
      <c r="Q4" s="4">
        <v>1.893939393939394E-3</v>
      </c>
      <c r="R4" s="13">
        <f t="shared" ref="R4:R20" si="2">Q4/2.4039</f>
        <v>7.8786113978925661E-4</v>
      </c>
      <c r="S4" s="4">
        <v>301</v>
      </c>
      <c r="Y4" s="3" t="s">
        <v>6</v>
      </c>
      <c r="Z4" s="4">
        <v>3</v>
      </c>
      <c r="AA4" s="4" t="s">
        <v>109</v>
      </c>
      <c r="AB4" s="4" t="s">
        <v>110</v>
      </c>
      <c r="AC4" s="4">
        <v>300</v>
      </c>
      <c r="AD4" s="4">
        <v>0.32765</v>
      </c>
    </row>
    <row r="5" spans="1:30" ht="28.2" thickBot="1" x14ac:dyDescent="0.35">
      <c r="A5" s="4">
        <v>808</v>
      </c>
      <c r="B5" s="4">
        <v>810</v>
      </c>
      <c r="C5" s="4">
        <v>5840</v>
      </c>
      <c r="D5" s="4">
        <f t="shared" si="0"/>
        <v>1.106060606060606</v>
      </c>
      <c r="E5" s="4">
        <v>303</v>
      </c>
      <c r="G5" s="4">
        <v>850</v>
      </c>
      <c r="H5" s="4">
        <v>816</v>
      </c>
      <c r="I5" s="4">
        <v>310</v>
      </c>
      <c r="J5" s="4">
        <f t="shared" si="1"/>
        <v>5.8712121212121215E-2</v>
      </c>
      <c r="K5" s="4">
        <v>301</v>
      </c>
      <c r="L5" s="7"/>
      <c r="M5" t="str">
        <f>Y26</f>
        <v>L24</v>
      </c>
      <c r="N5" s="4">
        <v>850</v>
      </c>
      <c r="O5" s="4">
        <v>816</v>
      </c>
      <c r="P5" s="4"/>
      <c r="Q5" s="4">
        <v>5.8712121212121215E-2</v>
      </c>
      <c r="R5" s="13">
        <f t="shared" si="2"/>
        <v>2.4423695333466954E-2</v>
      </c>
      <c r="S5" s="4">
        <v>301</v>
      </c>
      <c r="Y5" s="3" t="s">
        <v>8</v>
      </c>
      <c r="Z5" s="4">
        <v>3</v>
      </c>
      <c r="AA5" s="4" t="s">
        <v>110</v>
      </c>
      <c r="AB5" s="4" t="s">
        <v>111</v>
      </c>
      <c r="AC5" s="4">
        <v>300</v>
      </c>
      <c r="AD5" s="4">
        <v>6.1</v>
      </c>
    </row>
    <row r="6" spans="1:30" ht="15" thickBot="1" x14ac:dyDescent="0.35">
      <c r="A6" s="4">
        <v>808</v>
      </c>
      <c r="B6" s="4">
        <v>812</v>
      </c>
      <c r="C6" s="4">
        <v>37500</v>
      </c>
      <c r="D6" s="4">
        <f t="shared" si="0"/>
        <v>7.1022727272727275</v>
      </c>
      <c r="E6" s="4">
        <v>301</v>
      </c>
      <c r="G6" s="4">
        <v>816</v>
      </c>
      <c r="H6" s="4">
        <v>824</v>
      </c>
      <c r="I6" s="4">
        <v>10210</v>
      </c>
      <c r="J6" s="4">
        <f t="shared" si="1"/>
        <v>1.9337121212121211</v>
      </c>
      <c r="K6" s="4">
        <v>301</v>
      </c>
      <c r="L6" s="7"/>
      <c r="M6" t="str">
        <f>Y11</f>
        <v>L9</v>
      </c>
      <c r="N6" s="35">
        <v>816</v>
      </c>
      <c r="O6" s="35">
        <v>824</v>
      </c>
      <c r="P6" s="35"/>
      <c r="Q6" s="35">
        <v>1.9337121212121211</v>
      </c>
      <c r="R6" s="36">
        <f t="shared" si="2"/>
        <v>0.80440622372483095</v>
      </c>
      <c r="S6" s="35">
        <v>301</v>
      </c>
      <c r="Y6" s="3" t="s">
        <v>10</v>
      </c>
      <c r="Z6" s="4">
        <v>1</v>
      </c>
      <c r="AA6" s="4">
        <v>808.2</v>
      </c>
      <c r="AB6" s="4">
        <v>810.2</v>
      </c>
      <c r="AC6" s="4">
        <v>303</v>
      </c>
      <c r="AD6" s="4">
        <v>1.099</v>
      </c>
    </row>
    <row r="7" spans="1:30" ht="28.2" thickBot="1" x14ac:dyDescent="0.35">
      <c r="A7" s="4">
        <v>812</v>
      </c>
      <c r="B7" s="4">
        <v>814</v>
      </c>
      <c r="C7" s="4">
        <v>29730</v>
      </c>
      <c r="D7" s="4">
        <f t="shared" si="0"/>
        <v>5.6306818181818183</v>
      </c>
      <c r="E7" s="4">
        <v>301</v>
      </c>
      <c r="G7" s="4">
        <v>824</v>
      </c>
      <c r="H7" s="4">
        <v>828</v>
      </c>
      <c r="I7" s="4">
        <v>840</v>
      </c>
      <c r="J7" s="4">
        <f t="shared" si="1"/>
        <v>0.15909090909090909</v>
      </c>
      <c r="K7" s="4">
        <v>301</v>
      </c>
      <c r="L7" s="7"/>
      <c r="M7" t="str">
        <f>Y15</f>
        <v>L13</v>
      </c>
      <c r="N7" s="38">
        <v>824</v>
      </c>
      <c r="O7" s="38">
        <v>828</v>
      </c>
      <c r="P7" s="38"/>
      <c r="Q7" s="38">
        <v>0.15909090909090909</v>
      </c>
      <c r="R7" s="39">
        <f t="shared" si="2"/>
        <v>6.618033574229755E-2</v>
      </c>
      <c r="S7" s="38">
        <v>301</v>
      </c>
      <c r="Y7" s="3" t="s">
        <v>12</v>
      </c>
      <c r="Z7" s="4">
        <v>3</v>
      </c>
      <c r="AA7" s="4" t="s">
        <v>111</v>
      </c>
      <c r="AB7" s="4" t="s">
        <v>112</v>
      </c>
      <c r="AC7" s="4">
        <v>300</v>
      </c>
      <c r="AD7" s="4">
        <v>7.1</v>
      </c>
    </row>
    <row r="8" spans="1:30" ht="28.2" thickBot="1" x14ac:dyDescent="0.35">
      <c r="A8" s="4">
        <v>814</v>
      </c>
      <c r="B8" s="4">
        <v>850</v>
      </c>
      <c r="C8" s="4">
        <v>10</v>
      </c>
      <c r="D8" s="4">
        <f t="shared" si="0"/>
        <v>1.893939393939394E-3</v>
      </c>
      <c r="E8" s="4">
        <v>301</v>
      </c>
      <c r="G8" s="4">
        <v>828</v>
      </c>
      <c r="H8" s="4">
        <v>830</v>
      </c>
      <c r="I8" s="4">
        <v>20440</v>
      </c>
      <c r="J8" s="4">
        <f t="shared" si="1"/>
        <v>3.8712121212121211</v>
      </c>
      <c r="K8" s="4">
        <v>301</v>
      </c>
      <c r="L8" s="7"/>
      <c r="M8" t="str">
        <f t="shared" ref="M8:M9" si="3">Y16</f>
        <v>L14</v>
      </c>
      <c r="N8" s="38">
        <v>828</v>
      </c>
      <c r="O8" s="38">
        <v>830</v>
      </c>
      <c r="P8" s="38"/>
      <c r="Q8" s="38">
        <v>3.8712121212121211</v>
      </c>
      <c r="R8" s="39">
        <f t="shared" si="2"/>
        <v>1.6103881697292404</v>
      </c>
      <c r="S8" s="38">
        <v>301</v>
      </c>
      <c r="U8" s="37"/>
      <c r="Y8" s="3" t="s">
        <v>14</v>
      </c>
      <c r="Z8" s="4">
        <v>3</v>
      </c>
      <c r="AA8" s="4" t="s">
        <v>112</v>
      </c>
      <c r="AB8" s="4" t="s">
        <v>113</v>
      </c>
      <c r="AC8" s="4">
        <v>300</v>
      </c>
      <c r="AD8" s="4">
        <v>2.34</v>
      </c>
    </row>
    <row r="9" spans="1:30" ht="28.2" thickBot="1" x14ac:dyDescent="0.35">
      <c r="A9" s="4">
        <v>816</v>
      </c>
      <c r="B9" s="4">
        <v>818</v>
      </c>
      <c r="C9" s="4">
        <v>1710</v>
      </c>
      <c r="D9" s="4">
        <f t="shared" si="0"/>
        <v>0.32386363636363635</v>
      </c>
      <c r="E9" s="4">
        <v>302</v>
      </c>
      <c r="G9" s="4">
        <v>830</v>
      </c>
      <c r="H9" s="4">
        <v>854</v>
      </c>
      <c r="I9" s="4">
        <v>520</v>
      </c>
      <c r="J9" s="4">
        <f t="shared" si="1"/>
        <v>9.8484848484848481E-2</v>
      </c>
      <c r="K9" s="4">
        <v>301</v>
      </c>
      <c r="L9" s="7"/>
      <c r="M9" t="str">
        <f t="shared" si="3"/>
        <v>L15</v>
      </c>
      <c r="N9" s="38">
        <v>830</v>
      </c>
      <c r="O9" s="38">
        <v>854</v>
      </c>
      <c r="P9" s="38"/>
      <c r="Q9" s="38">
        <v>9.8484848484848481E-2</v>
      </c>
      <c r="R9" s="39">
        <f t="shared" si="2"/>
        <v>4.0968779269041342E-2</v>
      </c>
      <c r="S9" s="38">
        <v>301</v>
      </c>
      <c r="W9">
        <f>22.91/9.53</f>
        <v>2.4039874081846802</v>
      </c>
      <c r="Y9" s="3" t="s">
        <v>16</v>
      </c>
      <c r="Z9" s="4">
        <v>3</v>
      </c>
      <c r="AA9" s="4" t="s">
        <v>114</v>
      </c>
      <c r="AB9" s="4" t="s">
        <v>115</v>
      </c>
      <c r="AC9" s="4">
        <v>301</v>
      </c>
      <c r="AD9" s="4">
        <v>8.0000000000000004E-4</v>
      </c>
    </row>
    <row r="10" spans="1:30" ht="15" thickBot="1" x14ac:dyDescent="0.35">
      <c r="A10" s="4">
        <v>816</v>
      </c>
      <c r="B10" s="4">
        <v>824</v>
      </c>
      <c r="C10" s="4">
        <v>10210</v>
      </c>
      <c r="D10" s="4">
        <f t="shared" si="0"/>
        <v>1.9337121212121211</v>
      </c>
      <c r="E10" s="4">
        <v>301</v>
      </c>
      <c r="G10" s="4">
        <v>854</v>
      </c>
      <c r="H10" s="4">
        <v>852</v>
      </c>
      <c r="I10" s="4">
        <v>36830</v>
      </c>
      <c r="J10" s="4">
        <f t="shared" si="1"/>
        <v>6.9753787878787881</v>
      </c>
      <c r="K10" s="4">
        <v>301</v>
      </c>
      <c r="L10" s="7"/>
      <c r="M10" t="str">
        <f>Y29</f>
        <v>L27</v>
      </c>
      <c r="N10" s="41">
        <v>854</v>
      </c>
      <c r="O10" s="41">
        <v>852</v>
      </c>
      <c r="P10" s="41"/>
      <c r="Q10" s="41">
        <v>6.9753787878787881</v>
      </c>
      <c r="R10" s="42">
        <f t="shared" si="2"/>
        <v>2.9016925778438321</v>
      </c>
      <c r="S10" s="41">
        <v>301</v>
      </c>
      <c r="Y10" s="3" t="s">
        <v>18</v>
      </c>
      <c r="Z10" s="4">
        <v>1</v>
      </c>
      <c r="AA10" s="4">
        <v>816.1</v>
      </c>
      <c r="AB10" s="4">
        <v>818.1</v>
      </c>
      <c r="AC10" s="4">
        <v>302</v>
      </c>
      <c r="AD10" s="4">
        <v>0.32385999999999998</v>
      </c>
    </row>
    <row r="11" spans="1:30" ht="28.2" thickBot="1" x14ac:dyDescent="0.35">
      <c r="A11" s="4">
        <v>818</v>
      </c>
      <c r="B11" s="4">
        <v>820</v>
      </c>
      <c r="C11" s="4">
        <v>48150</v>
      </c>
      <c r="D11" s="4">
        <f t="shared" si="0"/>
        <v>9.1193181818181817</v>
      </c>
      <c r="E11" s="4">
        <v>302</v>
      </c>
      <c r="G11" s="4">
        <v>852</v>
      </c>
      <c r="H11" s="4">
        <v>832</v>
      </c>
      <c r="I11" s="4">
        <v>10</v>
      </c>
      <c r="J11" s="4">
        <f t="shared" si="1"/>
        <v>1.893939393939394E-3</v>
      </c>
      <c r="K11" s="4">
        <v>301</v>
      </c>
      <c r="L11" s="7"/>
      <c r="M11" t="str">
        <f>Y27</f>
        <v>L25</v>
      </c>
      <c r="N11" s="4">
        <v>852</v>
      </c>
      <c r="O11" s="4">
        <v>832</v>
      </c>
      <c r="P11" s="4"/>
      <c r="Q11" s="4">
        <v>1.893939393939394E-3</v>
      </c>
      <c r="R11" s="13">
        <f t="shared" si="2"/>
        <v>7.8786113978925661E-4</v>
      </c>
      <c r="S11" s="4">
        <v>301</v>
      </c>
      <c r="Y11" s="34" t="s">
        <v>20</v>
      </c>
      <c r="Z11" s="35">
        <v>3</v>
      </c>
      <c r="AA11" s="35" t="s">
        <v>116</v>
      </c>
      <c r="AB11" s="35" t="s">
        <v>117</v>
      </c>
      <c r="AC11" s="35">
        <v>301</v>
      </c>
      <c r="AD11" s="35">
        <v>0.8044</v>
      </c>
    </row>
    <row r="12" spans="1:30" ht="15" thickBot="1" x14ac:dyDescent="0.35">
      <c r="A12" s="4">
        <v>820</v>
      </c>
      <c r="B12" s="4">
        <v>822</v>
      </c>
      <c r="C12" s="4">
        <v>13740</v>
      </c>
      <c r="D12" s="4">
        <f t="shared" si="0"/>
        <v>2.6022727272727271</v>
      </c>
      <c r="E12" s="4">
        <v>302</v>
      </c>
      <c r="G12" s="4">
        <v>832</v>
      </c>
      <c r="H12" s="4">
        <v>858</v>
      </c>
      <c r="I12" s="4">
        <v>4900</v>
      </c>
      <c r="J12" s="4">
        <f t="shared" si="1"/>
        <v>0.92803030303030298</v>
      </c>
      <c r="K12" s="4">
        <v>301</v>
      </c>
      <c r="L12" s="7"/>
      <c r="M12" t="str">
        <f>Y18</f>
        <v>L16</v>
      </c>
      <c r="N12" s="44">
        <v>832</v>
      </c>
      <c r="O12" s="44">
        <v>858</v>
      </c>
      <c r="P12" s="44"/>
      <c r="Q12" s="44">
        <v>0.92803030303030298</v>
      </c>
      <c r="R12" s="45">
        <f t="shared" si="2"/>
        <v>0.38605195849673568</v>
      </c>
      <c r="S12" s="44">
        <v>301</v>
      </c>
      <c r="Y12" s="3" t="s">
        <v>22</v>
      </c>
      <c r="Z12" s="4">
        <v>1</v>
      </c>
      <c r="AA12" s="4">
        <v>818.1</v>
      </c>
      <c r="AB12" s="4">
        <v>820.1</v>
      </c>
      <c r="AC12" s="4">
        <v>302</v>
      </c>
      <c r="AD12" s="4">
        <v>9.1199999999999992</v>
      </c>
    </row>
    <row r="13" spans="1:30" ht="15" thickBot="1" x14ac:dyDescent="0.35">
      <c r="A13" s="4">
        <v>824</v>
      </c>
      <c r="B13" s="4">
        <v>826</v>
      </c>
      <c r="C13" s="4">
        <v>3030</v>
      </c>
      <c r="D13" s="4">
        <f t="shared" si="0"/>
        <v>0.57386363636363635</v>
      </c>
      <c r="E13" s="4">
        <v>303</v>
      </c>
      <c r="G13" s="4">
        <v>858</v>
      </c>
      <c r="H13" s="4">
        <v>834</v>
      </c>
      <c r="I13" s="4">
        <v>5830</v>
      </c>
      <c r="J13" s="4">
        <f t="shared" si="1"/>
        <v>1.1041666666666667</v>
      </c>
      <c r="K13" s="4">
        <v>301</v>
      </c>
      <c r="L13" s="7"/>
      <c r="M13" t="str">
        <f>Y31</f>
        <v>L29</v>
      </c>
      <c r="N13" s="4">
        <v>858</v>
      </c>
      <c r="O13" s="4">
        <v>834</v>
      </c>
      <c r="P13" s="4"/>
      <c r="Q13" s="4">
        <v>1.1041666666666667</v>
      </c>
      <c r="R13" s="13">
        <f t="shared" si="2"/>
        <v>0.45932304449713662</v>
      </c>
      <c r="S13" s="4">
        <v>301</v>
      </c>
      <c r="Y13" s="3" t="s">
        <v>24</v>
      </c>
      <c r="Z13" s="4">
        <v>1</v>
      </c>
      <c r="AA13" s="4">
        <v>820.1</v>
      </c>
      <c r="AB13" s="4">
        <v>822.1</v>
      </c>
      <c r="AC13" s="4">
        <v>302</v>
      </c>
      <c r="AD13" s="4">
        <v>2.6</v>
      </c>
    </row>
    <row r="14" spans="1:30" ht="15" thickBot="1" x14ac:dyDescent="0.35">
      <c r="A14" s="4">
        <v>824</v>
      </c>
      <c r="B14" s="4">
        <v>828</v>
      </c>
      <c r="C14" s="4">
        <v>840</v>
      </c>
      <c r="D14" s="4">
        <f t="shared" si="0"/>
        <v>0.15909090909090909</v>
      </c>
      <c r="E14" s="4">
        <v>301</v>
      </c>
      <c r="G14" s="4">
        <v>834</v>
      </c>
      <c r="H14" s="4">
        <v>860</v>
      </c>
      <c r="I14" s="4">
        <v>2020</v>
      </c>
      <c r="J14" s="4">
        <f t="shared" si="1"/>
        <v>0.38257575757575757</v>
      </c>
      <c r="K14" s="4">
        <v>301</v>
      </c>
      <c r="L14" s="7"/>
      <c r="M14" t="str">
        <f>Y19</f>
        <v>L17</v>
      </c>
      <c r="N14" s="47">
        <v>834</v>
      </c>
      <c r="O14" s="47">
        <v>860</v>
      </c>
      <c r="P14" s="47"/>
      <c r="Q14" s="47">
        <v>0.38257575757575757</v>
      </c>
      <c r="R14" s="48">
        <f t="shared" si="2"/>
        <v>0.15914795023742981</v>
      </c>
      <c r="S14" s="47">
        <v>301</v>
      </c>
      <c r="Y14" s="3" t="s">
        <v>26</v>
      </c>
      <c r="Z14" s="4">
        <v>1</v>
      </c>
      <c r="AA14" s="4">
        <v>824.2</v>
      </c>
      <c r="AB14" s="4">
        <v>826.2</v>
      </c>
      <c r="AC14" s="4">
        <v>303</v>
      </c>
      <c r="AD14" s="4">
        <v>0.57386000000000004</v>
      </c>
    </row>
    <row r="15" spans="1:30" ht="28.2" thickBot="1" x14ac:dyDescent="0.35">
      <c r="A15" s="4">
        <v>828</v>
      </c>
      <c r="B15" s="4">
        <v>830</v>
      </c>
      <c r="C15" s="4">
        <v>20440</v>
      </c>
      <c r="D15" s="4">
        <f t="shared" si="0"/>
        <v>3.8712121212121211</v>
      </c>
      <c r="E15" s="4">
        <v>301</v>
      </c>
      <c r="G15" s="4">
        <v>860</v>
      </c>
      <c r="H15" s="4">
        <v>836</v>
      </c>
      <c r="I15" s="4">
        <v>2680</v>
      </c>
      <c r="J15" s="4">
        <f t="shared" si="1"/>
        <v>0.50757575757575757</v>
      </c>
      <c r="K15" s="4">
        <v>301</v>
      </c>
      <c r="L15" s="7"/>
      <c r="M15" t="str">
        <f>Y32</f>
        <v>L30</v>
      </c>
      <c r="N15" s="4">
        <v>860</v>
      </c>
      <c r="O15" s="4">
        <v>836</v>
      </c>
      <c r="P15" s="4"/>
      <c r="Q15" s="4">
        <v>0.50757575757575757</v>
      </c>
      <c r="R15" s="13">
        <f t="shared" si="2"/>
        <v>0.21114678546352075</v>
      </c>
      <c r="S15" s="4">
        <v>301</v>
      </c>
      <c r="Y15" s="40" t="s">
        <v>28</v>
      </c>
      <c r="Z15" s="38">
        <v>3</v>
      </c>
      <c r="AA15" s="38" t="s">
        <v>117</v>
      </c>
      <c r="AB15" s="38" t="s">
        <v>118</v>
      </c>
      <c r="AC15" s="38">
        <v>301</v>
      </c>
      <c r="AD15" s="38">
        <v>6.1039999999999997E-2</v>
      </c>
    </row>
    <row r="16" spans="1:30" ht="28.2" thickBot="1" x14ac:dyDescent="0.35">
      <c r="A16" s="4">
        <v>830</v>
      </c>
      <c r="B16" s="4">
        <v>854</v>
      </c>
      <c r="C16" s="4">
        <v>520</v>
      </c>
      <c r="D16" s="4">
        <f t="shared" si="0"/>
        <v>9.8484848484848481E-2</v>
      </c>
      <c r="E16" s="4">
        <v>301</v>
      </c>
      <c r="G16" s="4">
        <v>836</v>
      </c>
      <c r="H16" s="4">
        <v>840</v>
      </c>
      <c r="I16" s="4">
        <v>860</v>
      </c>
      <c r="J16" s="4">
        <f t="shared" si="1"/>
        <v>0.16287878787878787</v>
      </c>
      <c r="K16" s="4">
        <v>301</v>
      </c>
      <c r="L16" s="7"/>
      <c r="M16" t="str">
        <f>Y21</f>
        <v>L19</v>
      </c>
      <c r="N16" s="4">
        <v>836</v>
      </c>
      <c r="O16" s="4">
        <v>840</v>
      </c>
      <c r="P16" s="4"/>
      <c r="Q16" s="4">
        <v>0.16287878787878787</v>
      </c>
      <c r="R16" s="13">
        <f t="shared" si="2"/>
        <v>6.7756058021876064E-2</v>
      </c>
      <c r="S16" s="4">
        <v>301</v>
      </c>
      <c r="Y16" s="40" t="s">
        <v>30</v>
      </c>
      <c r="Z16" s="38">
        <v>3</v>
      </c>
      <c r="AA16" s="38" t="s">
        <v>118</v>
      </c>
      <c r="AB16" s="38" t="s">
        <v>119</v>
      </c>
      <c r="AC16" s="38">
        <v>301</v>
      </c>
      <c r="AD16" s="38">
        <v>1.6104000000000001</v>
      </c>
    </row>
    <row r="17" spans="1:30" ht="28.2" thickBot="1" x14ac:dyDescent="0.35">
      <c r="A17" s="4">
        <v>832</v>
      </c>
      <c r="B17" s="4">
        <v>858</v>
      </c>
      <c r="C17" s="4">
        <v>4900</v>
      </c>
      <c r="D17" s="4">
        <f t="shared" si="0"/>
        <v>0.92803030303030298</v>
      </c>
      <c r="E17" s="4">
        <v>301</v>
      </c>
      <c r="J17" s="5">
        <f>SUM(J3:J16)</f>
        <v>21.816287878787882</v>
      </c>
      <c r="M17" t="str">
        <f>Y20</f>
        <v>L18</v>
      </c>
      <c r="N17" s="50">
        <v>834</v>
      </c>
      <c r="O17" s="50">
        <v>842</v>
      </c>
      <c r="P17" s="50"/>
      <c r="Q17" s="50">
        <v>5.3030303030303032E-2</v>
      </c>
      <c r="R17" s="51">
        <f t="shared" si="2"/>
        <v>2.2060111914099186E-2</v>
      </c>
      <c r="S17" s="50">
        <v>301</v>
      </c>
      <c r="Y17" s="40" t="s">
        <v>32</v>
      </c>
      <c r="Z17" s="38">
        <v>3</v>
      </c>
      <c r="AA17" s="38" t="s">
        <v>119</v>
      </c>
      <c r="AB17" s="38" t="s">
        <v>120</v>
      </c>
      <c r="AC17" s="38">
        <v>301</v>
      </c>
      <c r="AD17" s="38">
        <v>4.1000000000000002E-2</v>
      </c>
    </row>
    <row r="18" spans="1:30" ht="28.2" thickBot="1" x14ac:dyDescent="0.35">
      <c r="A18" s="4">
        <v>832</v>
      </c>
      <c r="B18" s="4">
        <v>888</v>
      </c>
      <c r="C18" s="4">
        <v>0</v>
      </c>
      <c r="D18" s="4">
        <f t="shared" si="0"/>
        <v>0</v>
      </c>
      <c r="E18" s="4">
        <v>55</v>
      </c>
      <c r="M18" t="str">
        <f>Y23</f>
        <v>L21</v>
      </c>
      <c r="N18" s="4">
        <v>842</v>
      </c>
      <c r="O18" s="4">
        <v>844</v>
      </c>
      <c r="P18" s="4"/>
      <c r="Q18" s="4">
        <v>0.25568181818181818</v>
      </c>
      <c r="R18" s="13">
        <f t="shared" si="2"/>
        <v>0.10636125387154963</v>
      </c>
      <c r="S18" s="4">
        <v>301</v>
      </c>
      <c r="Y18" s="46" t="s">
        <v>34</v>
      </c>
      <c r="Z18" s="44">
        <v>3</v>
      </c>
      <c r="AA18" s="44" t="s">
        <v>121</v>
      </c>
      <c r="AB18" s="44" t="s">
        <v>122</v>
      </c>
      <c r="AC18" s="44">
        <v>301</v>
      </c>
      <c r="AD18" s="44">
        <v>0.3861</v>
      </c>
    </row>
    <row r="19" spans="1:30" ht="28.2" thickBot="1" x14ac:dyDescent="0.35">
      <c r="A19" s="4">
        <v>834</v>
      </c>
      <c r="B19" s="4">
        <v>860</v>
      </c>
      <c r="C19" s="4">
        <v>2020</v>
      </c>
      <c r="D19" s="4">
        <f t="shared" si="0"/>
        <v>0.38257575757575757</v>
      </c>
      <c r="E19" s="4">
        <v>301</v>
      </c>
      <c r="M19" t="str">
        <f>Y24</f>
        <v>L22</v>
      </c>
      <c r="N19" s="6">
        <v>844</v>
      </c>
      <c r="O19" s="6">
        <v>846</v>
      </c>
      <c r="P19" s="6"/>
      <c r="Q19" s="6">
        <v>0.68939393939393945</v>
      </c>
      <c r="R19" s="13">
        <f t="shared" si="2"/>
        <v>0.28678145488328943</v>
      </c>
      <c r="S19" s="6">
        <v>301</v>
      </c>
      <c r="Y19" s="49" t="s">
        <v>36</v>
      </c>
      <c r="Z19" s="47">
        <v>3</v>
      </c>
      <c r="AA19" s="47" t="s">
        <v>123</v>
      </c>
      <c r="AB19" s="47" t="s">
        <v>124</v>
      </c>
      <c r="AC19" s="47">
        <v>301</v>
      </c>
      <c r="AD19" s="47">
        <v>0.15909999999999999</v>
      </c>
    </row>
    <row r="20" spans="1:30" ht="28.2" thickBot="1" x14ac:dyDescent="0.35">
      <c r="A20" s="4">
        <v>834</v>
      </c>
      <c r="B20" s="4">
        <v>842</v>
      </c>
      <c r="C20" s="4">
        <v>280</v>
      </c>
      <c r="D20" s="4">
        <f t="shared" si="0"/>
        <v>5.3030303030303032E-2</v>
      </c>
      <c r="E20" s="4">
        <v>301</v>
      </c>
      <c r="M20" t="str">
        <f>Y25</f>
        <v>L23</v>
      </c>
      <c r="N20" s="8">
        <v>846</v>
      </c>
      <c r="O20" s="9">
        <v>848</v>
      </c>
      <c r="P20" s="9"/>
      <c r="Q20" s="9">
        <v>0.10037878787878787</v>
      </c>
      <c r="R20" s="13">
        <f t="shared" si="2"/>
        <v>4.1756640408830592E-2</v>
      </c>
      <c r="S20" s="10">
        <v>301</v>
      </c>
      <c r="Y20" s="52" t="s">
        <v>38</v>
      </c>
      <c r="Z20" s="50">
        <v>3</v>
      </c>
      <c r="AA20" s="50" t="s">
        <v>123</v>
      </c>
      <c r="AB20" s="50" t="s">
        <v>125</v>
      </c>
      <c r="AC20" s="50">
        <v>301</v>
      </c>
      <c r="AD20" s="50">
        <v>2.2100000000000002E-2</v>
      </c>
    </row>
    <row r="21" spans="1:30" ht="28.2" thickBot="1" x14ac:dyDescent="0.35">
      <c r="A21" s="4">
        <v>836</v>
      </c>
      <c r="B21" s="4">
        <v>840</v>
      </c>
      <c r="C21" s="4">
        <v>860</v>
      </c>
      <c r="D21" s="4">
        <f t="shared" si="0"/>
        <v>0.16287878787878787</v>
      </c>
      <c r="E21" s="4">
        <v>301</v>
      </c>
      <c r="G21" s="4">
        <v>812</v>
      </c>
      <c r="H21" s="4">
        <v>814</v>
      </c>
      <c r="I21" s="4">
        <v>29730</v>
      </c>
      <c r="J21" s="4">
        <f t="shared" ref="J21:J35" si="4">I21/5280</f>
        <v>5.6306818181818183</v>
      </c>
      <c r="K21" s="4">
        <v>301</v>
      </c>
      <c r="L21" s="7"/>
      <c r="N21" s="7"/>
      <c r="O21" s="7"/>
      <c r="P21" s="7"/>
      <c r="Q21" s="7">
        <f>SUM(Q3:Q20)</f>
        <v>22.914772727272734</v>
      </c>
      <c r="R21" s="14">
        <f>SUM(R3:R20)</f>
        <v>9.5323319303102156</v>
      </c>
      <c r="S21" s="7"/>
      <c r="Y21" s="3" t="s">
        <v>40</v>
      </c>
      <c r="Z21" s="4">
        <v>3</v>
      </c>
      <c r="AA21" s="4" t="s">
        <v>126</v>
      </c>
      <c r="AB21" s="4" t="s">
        <v>127</v>
      </c>
      <c r="AC21" s="4">
        <v>301</v>
      </c>
      <c r="AD21" s="4">
        <v>6.7799999999999999E-2</v>
      </c>
    </row>
    <row r="22" spans="1:30" ht="28.2" thickBot="1" x14ac:dyDescent="0.35">
      <c r="A22" s="4">
        <v>836</v>
      </c>
      <c r="B22" s="4">
        <v>862</v>
      </c>
      <c r="C22" s="4">
        <v>280</v>
      </c>
      <c r="D22" s="4">
        <f t="shared" si="0"/>
        <v>5.3030303030303032E-2</v>
      </c>
      <c r="E22" s="4">
        <v>301</v>
      </c>
      <c r="G22" s="4">
        <v>814</v>
      </c>
      <c r="H22" s="4">
        <v>850</v>
      </c>
      <c r="I22" s="4">
        <v>10</v>
      </c>
      <c r="J22" s="4">
        <f t="shared" si="4"/>
        <v>1.893939393939394E-3</v>
      </c>
      <c r="K22" s="4">
        <v>301</v>
      </c>
      <c r="L22" s="7"/>
      <c r="N22" s="7"/>
      <c r="O22" s="7"/>
      <c r="P22" s="7"/>
      <c r="Q22" s="7"/>
      <c r="R22" s="7"/>
      <c r="S22" s="7"/>
      <c r="Y22" s="3" t="s">
        <v>42</v>
      </c>
      <c r="Z22" s="4">
        <v>3</v>
      </c>
      <c r="AA22" s="4" t="s">
        <v>126</v>
      </c>
      <c r="AB22" s="4" t="s">
        <v>128</v>
      </c>
      <c r="AC22" s="4">
        <v>301</v>
      </c>
      <c r="AD22" s="4">
        <v>5.3030000000000001E-2</v>
      </c>
    </row>
    <row r="23" spans="1:30" ht="28.2" thickBot="1" x14ac:dyDescent="0.35">
      <c r="A23" s="4">
        <v>842</v>
      </c>
      <c r="B23" s="4">
        <v>844</v>
      </c>
      <c r="C23" s="4">
        <v>1350</v>
      </c>
      <c r="D23" s="4">
        <f t="shared" si="0"/>
        <v>0.25568181818181818</v>
      </c>
      <c r="E23" s="4">
        <v>301</v>
      </c>
      <c r="G23" s="4">
        <v>850</v>
      </c>
      <c r="H23" s="4">
        <v>816</v>
      </c>
      <c r="I23" s="4">
        <v>310</v>
      </c>
      <c r="J23" s="4">
        <f t="shared" si="4"/>
        <v>5.8712121212121215E-2</v>
      </c>
      <c r="K23" s="4">
        <v>301</v>
      </c>
      <c r="L23" s="7"/>
      <c r="N23" s="7"/>
      <c r="O23" s="7"/>
      <c r="P23" s="7"/>
      <c r="Q23" s="7"/>
      <c r="R23" s="7"/>
      <c r="S23" s="7"/>
      <c r="Y23" s="3" t="s">
        <v>44</v>
      </c>
      <c r="Z23" s="4">
        <v>3</v>
      </c>
      <c r="AA23" s="4" t="s">
        <v>125</v>
      </c>
      <c r="AB23" s="4" t="s">
        <v>129</v>
      </c>
      <c r="AC23" s="4">
        <v>301</v>
      </c>
      <c r="AD23" s="4">
        <v>0.10639999999999999</v>
      </c>
    </row>
    <row r="24" spans="1:30" ht="28.2" thickBot="1" x14ac:dyDescent="0.35">
      <c r="A24" s="4">
        <v>844</v>
      </c>
      <c r="B24" s="4">
        <v>846</v>
      </c>
      <c r="C24" s="4">
        <v>3640</v>
      </c>
      <c r="D24" s="4">
        <f t="shared" si="0"/>
        <v>0.68939393939393945</v>
      </c>
      <c r="E24" s="4">
        <v>301</v>
      </c>
      <c r="G24" s="4">
        <v>816</v>
      </c>
      <c r="H24" s="4">
        <v>824</v>
      </c>
      <c r="I24" s="4">
        <v>10210</v>
      </c>
      <c r="J24" s="4">
        <f t="shared" si="4"/>
        <v>1.9337121212121211</v>
      </c>
      <c r="K24" s="4">
        <v>301</v>
      </c>
      <c r="L24" s="7"/>
      <c r="N24" s="7"/>
      <c r="O24" s="7"/>
      <c r="P24" s="7"/>
      <c r="Q24" s="7"/>
      <c r="R24" s="7"/>
      <c r="S24" s="7"/>
      <c r="Y24" s="3" t="s">
        <v>46</v>
      </c>
      <c r="Z24" s="4">
        <v>3</v>
      </c>
      <c r="AA24" s="4" t="s">
        <v>129</v>
      </c>
      <c r="AB24" s="4" t="s">
        <v>130</v>
      </c>
      <c r="AC24" s="4">
        <v>301</v>
      </c>
      <c r="AD24" s="4">
        <v>0.2868</v>
      </c>
    </row>
    <row r="25" spans="1:30" ht="28.2" thickBot="1" x14ac:dyDescent="0.35">
      <c r="A25" s="4">
        <v>846</v>
      </c>
      <c r="B25" s="4">
        <v>848</v>
      </c>
      <c r="C25" s="4">
        <v>530</v>
      </c>
      <c r="D25" s="4">
        <f t="shared" si="0"/>
        <v>0.10037878787878787</v>
      </c>
      <c r="E25" s="4">
        <v>301</v>
      </c>
      <c r="G25" s="4">
        <v>824</v>
      </c>
      <c r="H25" s="4">
        <v>828</v>
      </c>
      <c r="I25" s="4">
        <v>840</v>
      </c>
      <c r="J25" s="4">
        <f t="shared" si="4"/>
        <v>0.15909090909090909</v>
      </c>
      <c r="K25" s="4">
        <v>301</v>
      </c>
      <c r="L25" s="7"/>
      <c r="N25" s="7"/>
      <c r="O25" s="7"/>
      <c r="P25" s="7"/>
      <c r="Q25" s="7"/>
      <c r="R25" s="7"/>
      <c r="S25" s="7"/>
      <c r="Y25" s="3" t="s">
        <v>48</v>
      </c>
      <c r="Z25" s="4">
        <v>3</v>
      </c>
      <c r="AA25" s="4" t="s">
        <v>130</v>
      </c>
      <c r="AB25" s="4" t="s">
        <v>131</v>
      </c>
      <c r="AC25" s="4">
        <v>301</v>
      </c>
      <c r="AD25" s="4">
        <v>4.1799999999999997E-2</v>
      </c>
    </row>
    <row r="26" spans="1:30" ht="28.2" thickBot="1" x14ac:dyDescent="0.35">
      <c r="A26" s="4">
        <v>850</v>
      </c>
      <c r="B26" s="4">
        <v>816</v>
      </c>
      <c r="C26" s="4">
        <v>310</v>
      </c>
      <c r="D26" s="4">
        <f t="shared" si="0"/>
        <v>5.8712121212121215E-2</v>
      </c>
      <c r="E26" s="4">
        <v>301</v>
      </c>
      <c r="G26" s="4">
        <v>828</v>
      </c>
      <c r="H26" s="4">
        <v>830</v>
      </c>
      <c r="I26" s="4">
        <v>20440</v>
      </c>
      <c r="J26" s="4">
        <f t="shared" si="4"/>
        <v>3.8712121212121211</v>
      </c>
      <c r="K26" s="4">
        <v>301</v>
      </c>
      <c r="L26" s="7"/>
      <c r="N26" s="7"/>
      <c r="O26" s="7"/>
      <c r="P26" s="7"/>
      <c r="Q26" s="7"/>
      <c r="R26" s="7"/>
      <c r="S26" s="7"/>
      <c r="Y26" s="3" t="s">
        <v>50</v>
      </c>
      <c r="Z26" s="4">
        <v>3</v>
      </c>
      <c r="AA26" s="4" t="s">
        <v>115</v>
      </c>
      <c r="AB26" s="4" t="s">
        <v>116</v>
      </c>
      <c r="AC26" s="4">
        <v>301</v>
      </c>
      <c r="AD26" s="4">
        <v>2.4400000000000002E-2</v>
      </c>
    </row>
    <row r="27" spans="1:30" ht="28.2" thickBot="1" x14ac:dyDescent="0.35">
      <c r="A27" s="4">
        <v>852</v>
      </c>
      <c r="B27" s="4">
        <v>832</v>
      </c>
      <c r="C27" s="4">
        <v>10</v>
      </c>
      <c r="D27" s="4">
        <f t="shared" si="0"/>
        <v>1.893939393939394E-3</v>
      </c>
      <c r="E27" s="4">
        <v>301</v>
      </c>
      <c r="G27" s="4">
        <v>830</v>
      </c>
      <c r="H27" s="4">
        <v>854</v>
      </c>
      <c r="I27" s="4">
        <v>520</v>
      </c>
      <c r="J27" s="4">
        <f t="shared" si="4"/>
        <v>9.8484848484848481E-2</v>
      </c>
      <c r="K27" s="4">
        <v>301</v>
      </c>
      <c r="L27" s="7"/>
      <c r="N27" s="7"/>
      <c r="O27" s="7"/>
      <c r="P27" s="7"/>
      <c r="Q27" s="7"/>
      <c r="R27" s="7"/>
      <c r="S27" s="7"/>
      <c r="Y27" s="3" t="s">
        <v>52</v>
      </c>
      <c r="Z27" s="4">
        <v>3</v>
      </c>
      <c r="AA27" s="4" t="s">
        <v>132</v>
      </c>
      <c r="AB27" s="4" t="s">
        <v>121</v>
      </c>
      <c r="AC27" s="4">
        <v>301</v>
      </c>
      <c r="AD27" s="4">
        <v>8.0000000000000004E-4</v>
      </c>
    </row>
    <row r="28" spans="1:30" ht="15" thickBot="1" x14ac:dyDescent="0.35">
      <c r="A28" s="4">
        <v>854</v>
      </c>
      <c r="B28" s="4">
        <v>856</v>
      </c>
      <c r="C28" s="4">
        <v>23330</v>
      </c>
      <c r="D28" s="4">
        <f t="shared" si="0"/>
        <v>4.4185606060606064</v>
      </c>
      <c r="E28" s="4">
        <v>303</v>
      </c>
      <c r="G28" s="4">
        <v>854</v>
      </c>
      <c r="H28" s="4">
        <v>852</v>
      </c>
      <c r="I28" s="4">
        <v>36830</v>
      </c>
      <c r="J28" s="4">
        <f t="shared" si="4"/>
        <v>6.9753787878787881</v>
      </c>
      <c r="K28" s="4">
        <v>301</v>
      </c>
      <c r="L28" s="7"/>
      <c r="N28" s="7"/>
      <c r="O28" s="7"/>
      <c r="P28" s="7"/>
      <c r="Q28" s="7"/>
      <c r="R28" s="7"/>
      <c r="S28" s="7"/>
      <c r="Y28" s="3" t="s">
        <v>54</v>
      </c>
      <c r="Z28" s="4">
        <v>1</v>
      </c>
      <c r="AA28" s="4">
        <v>854.2</v>
      </c>
      <c r="AB28" s="4">
        <v>856.2</v>
      </c>
      <c r="AC28" s="4">
        <v>303</v>
      </c>
      <c r="AD28" s="4">
        <v>4.4185600000000003</v>
      </c>
    </row>
    <row r="29" spans="1:30" ht="28.2" thickBot="1" x14ac:dyDescent="0.35">
      <c r="A29" s="4">
        <v>854</v>
      </c>
      <c r="B29" s="4">
        <v>852</v>
      </c>
      <c r="C29" s="4">
        <v>36830</v>
      </c>
      <c r="D29" s="4">
        <f t="shared" si="0"/>
        <v>6.9753787878787881</v>
      </c>
      <c r="E29" s="4">
        <v>301</v>
      </c>
      <c r="G29" s="4">
        <v>852</v>
      </c>
      <c r="H29" s="4">
        <v>832</v>
      </c>
      <c r="I29" s="4">
        <v>10</v>
      </c>
      <c r="J29" s="4">
        <f t="shared" si="4"/>
        <v>1.893939393939394E-3</v>
      </c>
      <c r="K29" s="4">
        <v>301</v>
      </c>
      <c r="L29" s="7"/>
      <c r="N29" s="7"/>
      <c r="O29" s="7"/>
      <c r="P29" s="7"/>
      <c r="Q29" s="7"/>
      <c r="R29" s="7"/>
      <c r="S29" s="7"/>
      <c r="Y29" s="43" t="s">
        <v>56</v>
      </c>
      <c r="Z29" s="41">
        <v>3</v>
      </c>
      <c r="AA29" s="41" t="s">
        <v>120</v>
      </c>
      <c r="AB29" s="41" t="s">
        <v>133</v>
      </c>
      <c r="AC29" s="41">
        <v>301</v>
      </c>
      <c r="AD29" s="41">
        <v>6.9753699999999998</v>
      </c>
    </row>
    <row r="30" spans="1:30" ht="15" thickBot="1" x14ac:dyDescent="0.35">
      <c r="A30" s="4">
        <v>858</v>
      </c>
      <c r="B30" s="4">
        <v>864</v>
      </c>
      <c r="C30" s="4">
        <v>1620</v>
      </c>
      <c r="D30" s="4">
        <f t="shared" si="0"/>
        <v>0.30681818181818182</v>
      </c>
      <c r="E30" s="4">
        <v>302</v>
      </c>
      <c r="G30" s="4">
        <v>832</v>
      </c>
      <c r="H30" s="4">
        <v>858</v>
      </c>
      <c r="I30" s="4">
        <v>4900</v>
      </c>
      <c r="J30" s="4">
        <f t="shared" si="4"/>
        <v>0.92803030303030298</v>
      </c>
      <c r="K30" s="4">
        <v>301</v>
      </c>
      <c r="L30" s="7"/>
      <c r="N30" s="7"/>
      <c r="O30" s="7"/>
      <c r="P30" s="7"/>
      <c r="Q30" s="7"/>
      <c r="R30" s="7"/>
      <c r="S30" s="7"/>
      <c r="Y30" s="3" t="s">
        <v>58</v>
      </c>
      <c r="Z30" s="4">
        <v>1</v>
      </c>
      <c r="AA30" s="4">
        <v>858.1</v>
      </c>
      <c r="AB30" s="4">
        <v>864.1</v>
      </c>
      <c r="AC30" s="4">
        <v>303</v>
      </c>
      <c r="AD30" s="4">
        <v>0.30681000000000003</v>
      </c>
    </row>
    <row r="31" spans="1:30" ht="28.2" thickBot="1" x14ac:dyDescent="0.35">
      <c r="A31" s="4">
        <v>858</v>
      </c>
      <c r="B31" s="4">
        <v>834</v>
      </c>
      <c r="C31" s="4">
        <v>5830</v>
      </c>
      <c r="D31" s="4">
        <f t="shared" si="0"/>
        <v>1.1041666666666667</v>
      </c>
      <c r="E31" s="4">
        <v>301</v>
      </c>
      <c r="G31" s="4">
        <v>858</v>
      </c>
      <c r="H31" s="4">
        <v>834</v>
      </c>
      <c r="I31" s="4">
        <v>5830</v>
      </c>
      <c r="J31" s="4">
        <f t="shared" si="4"/>
        <v>1.1041666666666667</v>
      </c>
      <c r="K31" s="4">
        <v>301</v>
      </c>
      <c r="L31" s="7"/>
      <c r="N31" s="7"/>
      <c r="O31" s="7"/>
      <c r="P31" s="7"/>
      <c r="Q31" s="7"/>
      <c r="R31" s="7"/>
      <c r="S31" s="7"/>
      <c r="Y31" s="3" t="s">
        <v>60</v>
      </c>
      <c r="Z31" s="4">
        <v>3</v>
      </c>
      <c r="AA31" s="4" t="s">
        <v>122</v>
      </c>
      <c r="AB31" s="4" t="s">
        <v>123</v>
      </c>
      <c r="AC31" s="4">
        <v>301</v>
      </c>
      <c r="AD31" s="4">
        <v>0.45929999999999999</v>
      </c>
    </row>
    <row r="32" spans="1:30" ht="28.2" thickBot="1" x14ac:dyDescent="0.35">
      <c r="A32" s="4">
        <v>860</v>
      </c>
      <c r="B32" s="4">
        <v>836</v>
      </c>
      <c r="C32" s="4">
        <v>2680</v>
      </c>
      <c r="D32" s="4">
        <f t="shared" si="0"/>
        <v>0.50757575757575757</v>
      </c>
      <c r="E32" s="4">
        <v>301</v>
      </c>
      <c r="G32" s="4">
        <v>834</v>
      </c>
      <c r="H32" s="4">
        <v>842</v>
      </c>
      <c r="I32" s="4">
        <v>280</v>
      </c>
      <c r="J32" s="4">
        <f t="shared" si="4"/>
        <v>5.3030303030303032E-2</v>
      </c>
      <c r="K32" s="4">
        <v>301</v>
      </c>
      <c r="L32" s="7"/>
      <c r="Y32" s="3" t="s">
        <v>62</v>
      </c>
      <c r="Z32" s="4">
        <v>3</v>
      </c>
      <c r="AA32" s="4" t="s">
        <v>124</v>
      </c>
      <c r="AB32" s="4" t="s">
        <v>126</v>
      </c>
      <c r="AC32" s="4">
        <v>301</v>
      </c>
      <c r="AD32" s="4">
        <v>0.21110000000000001</v>
      </c>
    </row>
    <row r="33" spans="1:30" ht="15" thickBot="1" x14ac:dyDescent="0.35">
      <c r="A33" s="4">
        <v>862</v>
      </c>
      <c r="B33" s="4">
        <v>838</v>
      </c>
      <c r="C33" s="4">
        <v>4860</v>
      </c>
      <c r="D33" s="4">
        <f t="shared" si="0"/>
        <v>0.92045454545454541</v>
      </c>
      <c r="E33" s="4">
        <v>304</v>
      </c>
      <c r="G33" s="4">
        <v>842</v>
      </c>
      <c r="H33" s="4">
        <v>844</v>
      </c>
      <c r="I33" s="4">
        <v>1350</v>
      </c>
      <c r="J33" s="4">
        <f t="shared" si="4"/>
        <v>0.25568181818181818</v>
      </c>
      <c r="K33" s="4">
        <v>301</v>
      </c>
      <c r="L33" s="7"/>
      <c r="Y33" s="3" t="s">
        <v>64</v>
      </c>
      <c r="Z33" s="4">
        <v>1</v>
      </c>
      <c r="AA33" s="4">
        <v>862.2</v>
      </c>
      <c r="AB33" s="4">
        <v>838.2</v>
      </c>
      <c r="AC33" s="4">
        <v>304</v>
      </c>
      <c r="AD33" s="4">
        <v>0.92044999999999999</v>
      </c>
    </row>
    <row r="34" spans="1:30" ht="28.2" thickBot="1" x14ac:dyDescent="0.35">
      <c r="A34" s="4">
        <v>888</v>
      </c>
      <c r="B34" s="4">
        <v>890</v>
      </c>
      <c r="C34" s="4">
        <v>10560</v>
      </c>
      <c r="D34" s="4">
        <f t="shared" si="0"/>
        <v>2</v>
      </c>
      <c r="E34" s="4">
        <v>300</v>
      </c>
      <c r="G34" s="4">
        <v>844</v>
      </c>
      <c r="H34" s="4">
        <v>846</v>
      </c>
      <c r="I34" s="4">
        <v>3640</v>
      </c>
      <c r="J34" s="4">
        <f t="shared" si="4"/>
        <v>0.68939393939393945</v>
      </c>
      <c r="K34" s="4">
        <v>301</v>
      </c>
      <c r="L34" s="7"/>
      <c r="Y34" s="3" t="s">
        <v>66</v>
      </c>
      <c r="Z34" s="4">
        <v>3</v>
      </c>
      <c r="AA34" s="4" t="s">
        <v>134</v>
      </c>
      <c r="AB34" s="4" t="s">
        <v>135</v>
      </c>
      <c r="AC34" s="4">
        <v>300</v>
      </c>
      <c r="AD34" s="4">
        <v>2</v>
      </c>
    </row>
    <row r="35" spans="1:30" ht="15" thickBot="1" x14ac:dyDescent="0.35">
      <c r="C35">
        <f>SUM(C2:C34)</f>
        <v>308150</v>
      </c>
      <c r="D35" s="5">
        <f>SUM(D2:D34)</f>
        <v>58.361742424242422</v>
      </c>
      <c r="G35" s="4">
        <v>846</v>
      </c>
      <c r="H35" s="4">
        <v>848</v>
      </c>
      <c r="I35" s="4">
        <v>530</v>
      </c>
      <c r="J35" s="4">
        <f t="shared" si="4"/>
        <v>0.10037878787878787</v>
      </c>
      <c r="K35" s="4">
        <v>301</v>
      </c>
      <c r="L35" s="7"/>
    </row>
    <row r="36" spans="1:30" x14ac:dyDescent="0.3">
      <c r="C36">
        <f>C35/5280</f>
        <v>58.361742424242422</v>
      </c>
      <c r="J36" s="5">
        <f>SUM(J21:J35)</f>
        <v>21.861742424242429</v>
      </c>
      <c r="Q36" s="5">
        <f>SUM(Q21:Q35)</f>
        <v>22.914772727272734</v>
      </c>
      <c r="R36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7F7B-993F-485A-A5AF-BA4E16FD919D}">
  <dimension ref="A1:Q59"/>
  <sheetViews>
    <sheetView topLeftCell="B2" zoomScale="85" zoomScaleNormal="85" workbookViewId="0">
      <selection activeCell="Q18" sqref="Q18"/>
    </sheetView>
  </sheetViews>
  <sheetFormatPr defaultRowHeight="14.4" x14ac:dyDescent="0.3"/>
  <cols>
    <col min="11" max="11" width="11.88671875" bestFit="1" customWidth="1"/>
    <col min="12" max="12" width="13.5546875" bestFit="1" customWidth="1"/>
    <col min="13" max="13" width="11.88671875" bestFit="1" customWidth="1"/>
    <col min="14" max="14" width="13.5546875" bestFit="1" customWidth="1"/>
    <col min="15" max="15" width="11.88671875" bestFit="1" customWidth="1"/>
    <col min="16" max="16" width="13.5546875" bestFit="1" customWidth="1"/>
    <col min="17" max="17" width="11.88671875" bestFit="1" customWidth="1"/>
  </cols>
  <sheetData>
    <row r="1" spans="1:16" ht="15" thickBot="1" x14ac:dyDescent="0.35"/>
    <row r="2" spans="1:16" ht="28.2" thickBot="1" x14ac:dyDescent="0.35">
      <c r="B2" s="3" t="s">
        <v>98</v>
      </c>
      <c r="C2" s="3" t="s">
        <v>74</v>
      </c>
      <c r="D2" s="17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99</v>
      </c>
      <c r="J2" s="3" t="s">
        <v>100</v>
      </c>
    </row>
    <row r="3" spans="1:16" ht="15" thickBot="1" x14ac:dyDescent="0.35">
      <c r="B3" s="4">
        <v>860</v>
      </c>
      <c r="C3" s="4">
        <v>19.91</v>
      </c>
      <c r="D3" s="18">
        <v>15.94</v>
      </c>
      <c r="E3" s="4">
        <v>19.91</v>
      </c>
      <c r="F3" s="4">
        <v>15.94</v>
      </c>
      <c r="G3" s="4">
        <v>19.91</v>
      </c>
      <c r="H3" s="4">
        <v>15.94</v>
      </c>
      <c r="I3" s="25">
        <f>SUM(C3,E3,G3)</f>
        <v>59.730000000000004</v>
      </c>
      <c r="J3" s="25">
        <f>SUM(D3+F3+H3)</f>
        <v>47.82</v>
      </c>
    </row>
    <row r="4" spans="1:16" ht="15" thickBot="1" x14ac:dyDescent="0.35">
      <c r="B4" s="4">
        <v>840</v>
      </c>
      <c r="C4" s="4">
        <v>8.86</v>
      </c>
      <c r="D4" s="18">
        <v>7.09</v>
      </c>
      <c r="E4" s="4">
        <v>8.86</v>
      </c>
      <c r="F4" s="4">
        <v>7.09</v>
      </c>
      <c r="G4" s="4">
        <v>8.86</v>
      </c>
      <c r="H4" s="4">
        <v>7.09</v>
      </c>
      <c r="I4" s="25">
        <f t="shared" ref="I4:I7" si="0">SUM(C4,E4,G4)</f>
        <v>26.58</v>
      </c>
      <c r="J4" s="25">
        <f t="shared" ref="J4:J7" si="1">SUM(D4+F4+H4)</f>
        <v>21.27</v>
      </c>
    </row>
    <row r="5" spans="1:16" ht="15" thickBot="1" x14ac:dyDescent="0.35">
      <c r="B5" s="4">
        <v>844</v>
      </c>
      <c r="C5" s="4">
        <v>133.44</v>
      </c>
      <c r="D5" s="18">
        <v>106.83</v>
      </c>
      <c r="E5" s="4">
        <v>133.44</v>
      </c>
      <c r="F5" s="4">
        <v>106.83</v>
      </c>
      <c r="G5" s="4">
        <v>133.44</v>
      </c>
      <c r="H5" s="4">
        <v>106.83</v>
      </c>
      <c r="I5" s="25">
        <f t="shared" si="0"/>
        <v>400.32</v>
      </c>
      <c r="J5" s="25">
        <f t="shared" si="1"/>
        <v>320.49</v>
      </c>
    </row>
    <row r="6" spans="1:16" ht="15" thickBot="1" x14ac:dyDescent="0.35">
      <c r="B6" s="4">
        <v>848</v>
      </c>
      <c r="C6" s="4">
        <v>19.45</v>
      </c>
      <c r="D6" s="18">
        <v>15.57</v>
      </c>
      <c r="E6" s="4">
        <v>19.45</v>
      </c>
      <c r="F6" s="4">
        <v>15.57</v>
      </c>
      <c r="G6" s="4">
        <v>19.45</v>
      </c>
      <c r="H6" s="4">
        <v>15.57</v>
      </c>
      <c r="I6" s="25">
        <f t="shared" si="0"/>
        <v>58.349999999999994</v>
      </c>
      <c r="J6" s="25">
        <f t="shared" si="1"/>
        <v>46.71</v>
      </c>
    </row>
    <row r="7" spans="1:16" ht="15" thickBot="1" x14ac:dyDescent="0.35">
      <c r="B7" s="4">
        <v>890</v>
      </c>
      <c r="C7" s="4">
        <v>27</v>
      </c>
      <c r="D7" s="18">
        <v>21.62</v>
      </c>
      <c r="E7" s="4">
        <v>27</v>
      </c>
      <c r="F7" s="4">
        <v>21.62</v>
      </c>
      <c r="G7" s="4">
        <v>27</v>
      </c>
      <c r="H7" s="4">
        <v>21.62</v>
      </c>
      <c r="I7" s="25">
        <f t="shared" si="0"/>
        <v>81</v>
      </c>
      <c r="J7" s="25">
        <f t="shared" si="1"/>
        <v>64.86</v>
      </c>
    </row>
    <row r="8" spans="1:16" ht="15" thickBot="1" x14ac:dyDescent="0.35">
      <c r="B8" s="20" t="s">
        <v>92</v>
      </c>
      <c r="C8" s="21">
        <f>SUM(C3:C7)</f>
        <v>208.66</v>
      </c>
      <c r="D8" s="22">
        <f t="shared" ref="D8:H8" si="2">SUM(D3:D7)</f>
        <v>167.05</v>
      </c>
      <c r="E8" s="21">
        <f t="shared" si="2"/>
        <v>208.66</v>
      </c>
      <c r="F8" s="21">
        <f t="shared" si="2"/>
        <v>167.05</v>
      </c>
      <c r="G8" s="21">
        <f t="shared" si="2"/>
        <v>208.66</v>
      </c>
      <c r="H8" s="21">
        <f t="shared" si="2"/>
        <v>167.05</v>
      </c>
      <c r="I8" s="24"/>
      <c r="J8" s="24"/>
    </row>
    <row r="9" spans="1:16" ht="15" thickBot="1" x14ac:dyDescent="0.35">
      <c r="I9" s="7"/>
      <c r="J9" s="7"/>
    </row>
    <row r="10" spans="1:16" ht="28.2" thickBot="1" x14ac:dyDescent="0.35">
      <c r="A10" s="3" t="s">
        <v>68</v>
      </c>
      <c r="B10" s="3" t="s">
        <v>69</v>
      </c>
      <c r="C10" s="17" t="s">
        <v>74</v>
      </c>
      <c r="D10" s="3" t="s">
        <v>94</v>
      </c>
      <c r="E10" s="3" t="s">
        <v>76</v>
      </c>
      <c r="F10" s="3" t="s">
        <v>95</v>
      </c>
      <c r="G10" s="3" t="s">
        <v>78</v>
      </c>
      <c r="H10" s="3" t="s">
        <v>96</v>
      </c>
    </row>
    <row r="11" spans="1:16" ht="15" thickBot="1" x14ac:dyDescent="0.35">
      <c r="A11" s="4">
        <v>802</v>
      </c>
      <c r="B11" s="4">
        <v>806</v>
      </c>
      <c r="C11" s="25">
        <v>0</v>
      </c>
      <c r="D11" s="25">
        <v>0</v>
      </c>
      <c r="E11" s="25">
        <v>31.22</v>
      </c>
      <c r="F11" s="25">
        <v>16.14</v>
      </c>
      <c r="G11" s="25">
        <v>26.07</v>
      </c>
      <c r="H11" s="25">
        <v>13.48</v>
      </c>
      <c r="K11" s="15" t="s">
        <v>80</v>
      </c>
      <c r="L11" s="15" t="s">
        <v>81</v>
      </c>
      <c r="M11" s="15" t="s">
        <v>82</v>
      </c>
      <c r="N11" s="15" t="s">
        <v>83</v>
      </c>
      <c r="O11" s="15" t="s">
        <v>84</v>
      </c>
      <c r="P11" s="15" t="s">
        <v>85</v>
      </c>
    </row>
    <row r="12" spans="1:16" ht="15" thickBot="1" x14ac:dyDescent="0.35">
      <c r="A12" s="4">
        <v>808</v>
      </c>
      <c r="B12" s="4">
        <v>810</v>
      </c>
      <c r="C12" s="25">
        <v>0</v>
      </c>
      <c r="D12" s="25">
        <v>0</v>
      </c>
      <c r="E12" s="25">
        <v>15.88</v>
      </c>
      <c r="F12" s="25">
        <v>8.2100000000000009</v>
      </c>
      <c r="G12" s="25">
        <v>0</v>
      </c>
      <c r="H12" s="25">
        <v>0</v>
      </c>
      <c r="K12" s="15">
        <f t="shared" ref="K12:P12" si="3">C8+C30</f>
        <v>492.82000000000005</v>
      </c>
      <c r="L12" s="15">
        <f t="shared" si="3"/>
        <v>313.94000000000005</v>
      </c>
      <c r="M12" s="15">
        <f t="shared" si="3"/>
        <v>415.85</v>
      </c>
      <c r="N12" s="15">
        <f t="shared" si="3"/>
        <v>274.16000000000003</v>
      </c>
      <c r="O12" s="15">
        <f t="shared" si="3"/>
        <v>431.11</v>
      </c>
      <c r="P12" s="15">
        <f t="shared" si="3"/>
        <v>282.06</v>
      </c>
    </row>
    <row r="13" spans="1:16" ht="15" thickBot="1" x14ac:dyDescent="0.35">
      <c r="A13" s="4">
        <v>818</v>
      </c>
      <c r="B13" s="4">
        <v>820</v>
      </c>
      <c r="C13" s="25">
        <v>33.9</v>
      </c>
      <c r="D13" s="25">
        <v>17.52</v>
      </c>
      <c r="E13" s="25">
        <v>0</v>
      </c>
      <c r="F13" s="25">
        <v>0</v>
      </c>
      <c r="G13" s="25">
        <v>0</v>
      </c>
      <c r="H13" s="25">
        <v>0</v>
      </c>
    </row>
    <row r="14" spans="1:16" ht="15" thickBot="1" x14ac:dyDescent="0.35">
      <c r="A14" s="4">
        <v>820</v>
      </c>
      <c r="B14" s="4">
        <v>822</v>
      </c>
      <c r="C14" s="25">
        <v>135.53</v>
      </c>
      <c r="D14" s="25">
        <v>70.069999999999993</v>
      </c>
      <c r="E14" s="25">
        <v>0</v>
      </c>
      <c r="F14" s="25">
        <v>0</v>
      </c>
      <c r="G14" s="25">
        <v>0</v>
      </c>
      <c r="H14" s="25">
        <v>0</v>
      </c>
    </row>
    <row r="15" spans="1:16" ht="15" thickBot="1" x14ac:dyDescent="0.35">
      <c r="A15" s="4">
        <v>816</v>
      </c>
      <c r="B15" s="4">
        <v>824</v>
      </c>
      <c r="C15" s="25">
        <v>0</v>
      </c>
      <c r="D15" s="25">
        <v>0</v>
      </c>
      <c r="E15" s="25">
        <v>0.39</v>
      </c>
      <c r="F15" s="25">
        <v>0.2</v>
      </c>
      <c r="G15" s="25">
        <v>0</v>
      </c>
      <c r="H15" s="25">
        <v>0</v>
      </c>
      <c r="K15" s="53" t="s">
        <v>86</v>
      </c>
      <c r="L15" s="53"/>
      <c r="M15" s="53" t="s">
        <v>87</v>
      </c>
      <c r="N15" s="53"/>
      <c r="O15" s="53" t="s">
        <v>88</v>
      </c>
      <c r="P15" s="53"/>
    </row>
    <row r="16" spans="1:16" ht="15" thickBot="1" x14ac:dyDescent="0.35">
      <c r="A16" s="4">
        <v>824</v>
      </c>
      <c r="B16" s="4">
        <v>826</v>
      </c>
      <c r="C16" s="25">
        <v>0</v>
      </c>
      <c r="D16" s="25">
        <v>0</v>
      </c>
      <c r="E16" s="25">
        <v>41.93</v>
      </c>
      <c r="F16" s="25">
        <v>21.68</v>
      </c>
      <c r="G16" s="25">
        <v>0</v>
      </c>
      <c r="H16" s="25">
        <v>0</v>
      </c>
      <c r="K16" s="54">
        <f>SQRT(K12*K12+L12*L12)</f>
        <v>584.32001163745883</v>
      </c>
      <c r="L16" s="54"/>
      <c r="M16" s="54">
        <f>SQRT(M12*M12+N12*N12)</f>
        <v>498.09128490669264</v>
      </c>
      <c r="N16" s="54"/>
      <c r="O16" s="55">
        <f>SQRT(O12*O12+P12*P12)</f>
        <v>515.18314772515612</v>
      </c>
      <c r="P16" s="55"/>
    </row>
    <row r="17" spans="1:17" ht="15" thickBot="1" x14ac:dyDescent="0.35">
      <c r="A17" s="4">
        <v>824</v>
      </c>
      <c r="B17" s="4">
        <v>828</v>
      </c>
      <c r="C17" s="25">
        <v>0</v>
      </c>
      <c r="D17" s="25">
        <v>0</v>
      </c>
      <c r="E17" s="25">
        <v>0</v>
      </c>
      <c r="F17" s="25">
        <v>0</v>
      </c>
      <c r="G17" s="25">
        <v>2.78</v>
      </c>
      <c r="H17" s="25">
        <v>1.44</v>
      </c>
      <c r="K17" s="53" t="s">
        <v>89</v>
      </c>
      <c r="L17" s="53"/>
      <c r="M17" s="53" t="s">
        <v>90</v>
      </c>
      <c r="N17" s="53"/>
      <c r="O17" s="53" t="s">
        <v>91</v>
      </c>
      <c r="P17" s="53"/>
      <c r="Q17" t="s">
        <v>92</v>
      </c>
    </row>
    <row r="18" spans="1:17" ht="15" thickBot="1" x14ac:dyDescent="0.35">
      <c r="A18" s="4">
        <v>828</v>
      </c>
      <c r="B18" s="4">
        <v>830</v>
      </c>
      <c r="C18" s="25">
        <v>6.18</v>
      </c>
      <c r="D18" s="25">
        <v>3.2</v>
      </c>
      <c r="E18" s="25">
        <v>0</v>
      </c>
      <c r="F18" s="25">
        <v>0</v>
      </c>
      <c r="G18" s="25">
        <v>0</v>
      </c>
      <c r="H18" s="25">
        <v>0</v>
      </c>
      <c r="K18" s="53">
        <f>K16/(SQRT(3)*24.9)</f>
        <v>13.548486586818159</v>
      </c>
      <c r="L18" s="53"/>
      <c r="M18" s="53">
        <f t="shared" ref="M18" si="4">M16/(SQRT(3)*24.9)</f>
        <v>11.549121984814684</v>
      </c>
      <c r="N18" s="53"/>
      <c r="O18" s="53">
        <f t="shared" ref="O18" si="5">O16/(SQRT(3)*24.9)</f>
        <v>11.945426868316373</v>
      </c>
      <c r="P18" s="53"/>
      <c r="Q18">
        <f>K18+M18+O18</f>
        <v>37.043035439949215</v>
      </c>
    </row>
    <row r="19" spans="1:17" ht="15" thickBot="1" x14ac:dyDescent="0.35">
      <c r="A19" s="4">
        <v>854</v>
      </c>
      <c r="B19" s="4">
        <v>856</v>
      </c>
      <c r="C19" s="25">
        <v>0</v>
      </c>
      <c r="D19" s="25">
        <v>0</v>
      </c>
      <c r="E19" s="25">
        <v>3.71</v>
      </c>
      <c r="F19" s="25">
        <v>1.92</v>
      </c>
      <c r="G19" s="25">
        <v>0</v>
      </c>
      <c r="H19" s="25">
        <v>0</v>
      </c>
    </row>
    <row r="20" spans="1:17" ht="15" thickBot="1" x14ac:dyDescent="0.35">
      <c r="A20" s="4">
        <v>832</v>
      </c>
      <c r="B20" s="4">
        <v>858</v>
      </c>
      <c r="C20" s="25">
        <v>6.68</v>
      </c>
      <c r="D20" s="25">
        <v>3.45</v>
      </c>
      <c r="E20" s="25">
        <v>1.08</v>
      </c>
      <c r="F20" s="25">
        <v>0.56000000000000005</v>
      </c>
      <c r="G20" s="25">
        <v>5.35</v>
      </c>
      <c r="H20" s="25">
        <v>2.77</v>
      </c>
    </row>
    <row r="21" spans="1:17" ht="15" thickBot="1" x14ac:dyDescent="0.35">
      <c r="A21" s="4">
        <v>858</v>
      </c>
      <c r="B21" s="4">
        <v>864</v>
      </c>
      <c r="C21" s="25">
        <v>0.63</v>
      </c>
      <c r="D21" s="25">
        <v>0.33</v>
      </c>
      <c r="E21" s="25">
        <v>0</v>
      </c>
      <c r="F21" s="25">
        <v>0</v>
      </c>
      <c r="G21" s="25">
        <v>0</v>
      </c>
      <c r="H21" s="25">
        <v>0</v>
      </c>
    </row>
    <row r="22" spans="1:17" ht="15" thickBot="1" x14ac:dyDescent="0.35">
      <c r="A22" s="4">
        <v>858</v>
      </c>
      <c r="B22" s="4">
        <v>834</v>
      </c>
      <c r="C22" s="25">
        <v>3.99</v>
      </c>
      <c r="D22" s="25">
        <v>2.06</v>
      </c>
      <c r="E22" s="25">
        <v>12.55</v>
      </c>
      <c r="F22" s="25">
        <v>6.49</v>
      </c>
      <c r="G22" s="25">
        <v>12.82</v>
      </c>
      <c r="H22" s="25">
        <v>6.63</v>
      </c>
    </row>
    <row r="23" spans="1:17" ht="15" thickBot="1" x14ac:dyDescent="0.35">
      <c r="A23" s="4">
        <v>834</v>
      </c>
      <c r="B23" s="4">
        <v>860</v>
      </c>
      <c r="C23" s="25">
        <v>15.66</v>
      </c>
      <c r="D23" s="25">
        <v>8.09</v>
      </c>
      <c r="E23" s="25">
        <v>20.86</v>
      </c>
      <c r="F23" s="25">
        <v>10.78</v>
      </c>
      <c r="G23" s="25">
        <v>111.15</v>
      </c>
      <c r="H23" s="25">
        <v>57.46</v>
      </c>
    </row>
    <row r="24" spans="1:17" ht="15" thickBot="1" x14ac:dyDescent="0.35">
      <c r="A24" s="4">
        <v>860</v>
      </c>
      <c r="B24" s="4">
        <v>836</v>
      </c>
      <c r="C24" s="25">
        <v>27.37</v>
      </c>
      <c r="D24" s="25">
        <v>14.15</v>
      </c>
      <c r="E24" s="25">
        <v>10.55</v>
      </c>
      <c r="F24" s="25">
        <v>5.45</v>
      </c>
      <c r="G24" s="25">
        <v>42.05</v>
      </c>
      <c r="H24" s="25">
        <v>21.74</v>
      </c>
    </row>
    <row r="25" spans="1:17" ht="15" thickBot="1" x14ac:dyDescent="0.35">
      <c r="A25" s="4">
        <v>836</v>
      </c>
      <c r="B25" s="4">
        <v>840</v>
      </c>
      <c r="C25" s="25">
        <v>17.489999999999998</v>
      </c>
      <c r="D25" s="25">
        <v>9.0399999999999991</v>
      </c>
      <c r="E25" s="25">
        <v>21.81</v>
      </c>
      <c r="F25" s="25">
        <v>11.27</v>
      </c>
      <c r="G25" s="25">
        <v>0</v>
      </c>
      <c r="H25" s="25">
        <v>0</v>
      </c>
    </row>
    <row r="26" spans="1:17" ht="15" thickBot="1" x14ac:dyDescent="0.35">
      <c r="A26" s="4">
        <v>862</v>
      </c>
      <c r="B26" s="4">
        <v>838</v>
      </c>
      <c r="C26" s="25">
        <v>27.61</v>
      </c>
      <c r="D26" s="25">
        <v>14.27</v>
      </c>
      <c r="E26" s="25">
        <v>0</v>
      </c>
      <c r="F26" s="25">
        <v>0</v>
      </c>
      <c r="G26" s="25">
        <v>0</v>
      </c>
      <c r="H26" s="25">
        <v>0</v>
      </c>
    </row>
    <row r="27" spans="1:17" ht="15" thickBot="1" x14ac:dyDescent="0.35">
      <c r="A27" s="4">
        <v>842</v>
      </c>
      <c r="B27" s="4">
        <v>844</v>
      </c>
      <c r="C27" s="25">
        <v>9.1199999999999992</v>
      </c>
      <c r="D27" s="25">
        <v>4.71</v>
      </c>
      <c r="E27" s="25">
        <v>0</v>
      </c>
      <c r="F27" s="25">
        <v>0</v>
      </c>
      <c r="G27" s="25">
        <v>0</v>
      </c>
      <c r="H27" s="25">
        <v>0</v>
      </c>
    </row>
    <row r="28" spans="1:17" ht="15" thickBot="1" x14ac:dyDescent="0.35">
      <c r="A28" s="4">
        <v>844</v>
      </c>
      <c r="B28" s="4">
        <v>846</v>
      </c>
      <c r="C28" s="25">
        <v>0</v>
      </c>
      <c r="D28" s="25">
        <v>0</v>
      </c>
      <c r="E28" s="25">
        <v>24.59</v>
      </c>
      <c r="F28" s="25">
        <v>12.71</v>
      </c>
      <c r="G28" s="25">
        <v>22.23</v>
      </c>
      <c r="H28" s="25">
        <v>11.49</v>
      </c>
    </row>
    <row r="29" spans="1:17" ht="15" thickBot="1" x14ac:dyDescent="0.35">
      <c r="A29" s="4">
        <v>846</v>
      </c>
      <c r="B29" s="4">
        <v>848</v>
      </c>
      <c r="C29" s="25">
        <v>0</v>
      </c>
      <c r="D29" s="25">
        <v>0</v>
      </c>
      <c r="E29" s="25">
        <v>22.62</v>
      </c>
      <c r="F29" s="25">
        <v>11.7</v>
      </c>
      <c r="G29" s="25">
        <v>0</v>
      </c>
      <c r="H29" s="25">
        <v>0</v>
      </c>
    </row>
    <row r="30" spans="1:17" ht="15" thickBot="1" x14ac:dyDescent="0.35">
      <c r="C30" s="17">
        <f>SUM(C11:C29)</f>
        <v>284.16000000000003</v>
      </c>
      <c r="D30" s="17">
        <f t="shared" ref="D30:H30" si="6">SUM(D11:D29)</f>
        <v>146.89000000000001</v>
      </c>
      <c r="E30" s="17">
        <f t="shared" si="6"/>
        <v>207.19</v>
      </c>
      <c r="F30" s="17">
        <f t="shared" si="6"/>
        <v>107.11</v>
      </c>
      <c r="G30" s="17">
        <f t="shared" si="6"/>
        <v>222.45000000000002</v>
      </c>
      <c r="H30" s="17">
        <f t="shared" si="6"/>
        <v>115.00999999999999</v>
      </c>
    </row>
    <row r="31" spans="1:17" x14ac:dyDescent="0.3">
      <c r="C31" t="e">
        <f>so</f>
        <v>#NAME?</v>
      </c>
    </row>
    <row r="38" spans="1:9" ht="15" thickBot="1" x14ac:dyDescent="0.35"/>
    <row r="39" spans="1:9" ht="15" thickBot="1" x14ac:dyDescent="0.35">
      <c r="A39" s="3" t="s">
        <v>68</v>
      </c>
      <c r="B39" s="3" t="s">
        <v>69</v>
      </c>
      <c r="C39" s="3"/>
      <c r="D39" s="3"/>
      <c r="E39" s="3"/>
      <c r="F39" s="3"/>
      <c r="G39" s="3"/>
      <c r="H39" s="3"/>
      <c r="I39" s="3"/>
    </row>
    <row r="40" spans="1:9" ht="15" thickBot="1" x14ac:dyDescent="0.35">
      <c r="A40" s="4">
        <v>802</v>
      </c>
      <c r="B40" s="4">
        <v>806</v>
      </c>
      <c r="C40" s="4"/>
      <c r="D40" s="4"/>
      <c r="E40" s="4"/>
      <c r="F40" s="4"/>
      <c r="G40" s="4"/>
      <c r="H40" s="4"/>
      <c r="I40" s="4"/>
    </row>
    <row r="41" spans="1:9" ht="15" thickBot="1" x14ac:dyDescent="0.35">
      <c r="A41" s="4">
        <v>808</v>
      </c>
      <c r="B41" s="4">
        <v>810</v>
      </c>
      <c r="C41" s="4"/>
      <c r="D41" s="4"/>
      <c r="E41" s="4"/>
      <c r="F41" s="4"/>
      <c r="G41" s="4"/>
      <c r="H41" s="4"/>
      <c r="I41" s="4"/>
    </row>
    <row r="42" spans="1:9" ht="15" thickBot="1" x14ac:dyDescent="0.35">
      <c r="A42" s="4">
        <v>818</v>
      </c>
      <c r="B42" s="4">
        <v>820</v>
      </c>
      <c r="C42" s="4"/>
      <c r="D42" s="4"/>
      <c r="E42" s="4"/>
      <c r="F42" s="4"/>
      <c r="G42" s="4"/>
      <c r="H42" s="4"/>
      <c r="I42" s="4"/>
    </row>
    <row r="43" spans="1:9" ht="15" thickBot="1" x14ac:dyDescent="0.35">
      <c r="A43" s="4">
        <v>820</v>
      </c>
      <c r="B43" s="4">
        <v>822</v>
      </c>
      <c r="C43" s="4"/>
      <c r="D43" s="4"/>
      <c r="E43" s="4"/>
      <c r="F43" s="4"/>
      <c r="G43" s="4"/>
      <c r="H43" s="4"/>
      <c r="I43" s="4"/>
    </row>
    <row r="44" spans="1:9" ht="15" thickBot="1" x14ac:dyDescent="0.35">
      <c r="A44" s="4">
        <v>816</v>
      </c>
      <c r="B44" s="4">
        <v>824</v>
      </c>
      <c r="C44" s="4"/>
      <c r="D44" s="4"/>
      <c r="E44" s="4"/>
      <c r="F44" s="4"/>
      <c r="G44" s="4"/>
      <c r="H44" s="4"/>
      <c r="I44" s="4"/>
    </row>
    <row r="45" spans="1:9" ht="15" thickBot="1" x14ac:dyDescent="0.35">
      <c r="A45" s="4">
        <v>824</v>
      </c>
      <c r="B45" s="4">
        <v>826</v>
      </c>
      <c r="C45" s="4"/>
      <c r="D45" s="4"/>
      <c r="E45" s="4"/>
      <c r="F45" s="4"/>
      <c r="G45" s="4"/>
      <c r="H45" s="4"/>
      <c r="I45" s="4"/>
    </row>
    <row r="46" spans="1:9" ht="15" thickBot="1" x14ac:dyDescent="0.35">
      <c r="A46" s="4">
        <v>824</v>
      </c>
      <c r="B46" s="4">
        <v>828</v>
      </c>
      <c r="C46" s="4"/>
      <c r="D46" s="4"/>
      <c r="E46" s="4"/>
      <c r="F46" s="4"/>
      <c r="G46" s="4"/>
      <c r="H46" s="4"/>
      <c r="I46" s="4"/>
    </row>
    <row r="47" spans="1:9" ht="15" thickBot="1" x14ac:dyDescent="0.35">
      <c r="A47" s="4">
        <v>828</v>
      </c>
      <c r="B47" s="4">
        <v>830</v>
      </c>
      <c r="C47" s="4"/>
      <c r="D47" s="4"/>
      <c r="E47" s="4"/>
      <c r="F47" s="4"/>
      <c r="G47" s="4"/>
      <c r="H47" s="4"/>
      <c r="I47" s="4"/>
    </row>
    <row r="48" spans="1:9" ht="15" thickBot="1" x14ac:dyDescent="0.35">
      <c r="A48" s="4">
        <v>854</v>
      </c>
      <c r="B48" s="4">
        <v>856</v>
      </c>
      <c r="C48" s="4"/>
      <c r="D48" s="4"/>
      <c r="E48" s="4"/>
      <c r="F48" s="4"/>
      <c r="G48" s="4"/>
      <c r="H48" s="4"/>
      <c r="I48" s="4"/>
    </row>
    <row r="49" spans="1:9" ht="15" thickBot="1" x14ac:dyDescent="0.35">
      <c r="A49" s="4">
        <v>832</v>
      </c>
      <c r="B49" s="4">
        <v>858</v>
      </c>
      <c r="C49" s="4"/>
      <c r="D49" s="4"/>
      <c r="E49" s="4"/>
      <c r="F49" s="4"/>
      <c r="G49" s="4"/>
      <c r="H49" s="4"/>
      <c r="I49" s="4"/>
    </row>
    <row r="50" spans="1:9" ht="15" thickBot="1" x14ac:dyDescent="0.35">
      <c r="A50" s="4">
        <v>858</v>
      </c>
      <c r="B50" s="4">
        <v>864</v>
      </c>
      <c r="C50" s="4"/>
      <c r="D50" s="4"/>
      <c r="E50" s="4"/>
      <c r="F50" s="4"/>
      <c r="G50" s="4"/>
      <c r="H50" s="4"/>
      <c r="I50" s="4"/>
    </row>
    <row r="51" spans="1:9" ht="15" thickBot="1" x14ac:dyDescent="0.35">
      <c r="A51" s="4">
        <v>858</v>
      </c>
      <c r="B51" s="4">
        <v>834</v>
      </c>
      <c r="C51" s="4"/>
      <c r="D51" s="4"/>
      <c r="E51" s="4"/>
      <c r="F51" s="4"/>
      <c r="G51" s="4"/>
      <c r="H51" s="4"/>
      <c r="I51" s="4"/>
    </row>
    <row r="52" spans="1:9" ht="15" thickBot="1" x14ac:dyDescent="0.35">
      <c r="A52" s="4">
        <v>834</v>
      </c>
      <c r="B52" s="4">
        <v>860</v>
      </c>
      <c r="C52" s="4"/>
      <c r="D52" s="4"/>
      <c r="E52" s="4"/>
      <c r="F52" s="4"/>
      <c r="G52" s="4"/>
      <c r="H52" s="4"/>
      <c r="I52" s="4"/>
    </row>
    <row r="53" spans="1:9" ht="15" thickBot="1" x14ac:dyDescent="0.35">
      <c r="A53" s="4">
        <v>860</v>
      </c>
      <c r="B53" s="4">
        <v>836</v>
      </c>
      <c r="C53" s="4"/>
      <c r="D53" s="4"/>
      <c r="E53" s="4"/>
      <c r="F53" s="4"/>
      <c r="G53" s="4"/>
      <c r="H53" s="4"/>
      <c r="I53" s="4"/>
    </row>
    <row r="54" spans="1:9" ht="15" thickBot="1" x14ac:dyDescent="0.35">
      <c r="A54" s="4">
        <v>836</v>
      </c>
      <c r="B54" s="4">
        <v>840</v>
      </c>
      <c r="C54" s="4"/>
      <c r="D54" s="4"/>
      <c r="E54" s="4"/>
      <c r="F54" s="4"/>
      <c r="G54" s="4"/>
      <c r="H54" s="4"/>
      <c r="I54" s="4"/>
    </row>
    <row r="55" spans="1:9" ht="15" thickBot="1" x14ac:dyDescent="0.35">
      <c r="A55" s="4">
        <v>862</v>
      </c>
      <c r="B55" s="4">
        <v>838</v>
      </c>
      <c r="C55" s="4"/>
      <c r="D55" s="4"/>
      <c r="E55" s="4"/>
      <c r="F55" s="4"/>
      <c r="G55" s="4"/>
      <c r="H55" s="4"/>
      <c r="I55" s="4"/>
    </row>
    <row r="56" spans="1:9" ht="15" thickBot="1" x14ac:dyDescent="0.35">
      <c r="A56" s="4">
        <v>842</v>
      </c>
      <c r="B56" s="4">
        <v>844</v>
      </c>
      <c r="C56" s="4"/>
      <c r="D56" s="4"/>
      <c r="E56" s="4"/>
      <c r="F56" s="4"/>
      <c r="G56" s="4"/>
      <c r="H56" s="4"/>
      <c r="I56" s="4"/>
    </row>
    <row r="57" spans="1:9" ht="15" thickBot="1" x14ac:dyDescent="0.35">
      <c r="A57" s="4">
        <v>844</v>
      </c>
      <c r="B57" s="4">
        <v>846</v>
      </c>
      <c r="C57" s="4"/>
      <c r="D57" s="4"/>
      <c r="E57" s="4"/>
      <c r="F57" s="4"/>
      <c r="G57" s="4"/>
      <c r="H57" s="4"/>
      <c r="I57" s="4"/>
    </row>
    <row r="58" spans="1:9" ht="15" thickBot="1" x14ac:dyDescent="0.35">
      <c r="A58" s="4">
        <v>846</v>
      </c>
      <c r="B58" s="4">
        <v>848</v>
      </c>
      <c r="C58" s="4"/>
      <c r="D58" s="4"/>
      <c r="E58" s="4"/>
      <c r="F58" s="4"/>
      <c r="G58" s="4"/>
      <c r="H58" s="4"/>
      <c r="I58" s="4"/>
    </row>
    <row r="59" spans="1:9" ht="15" thickBot="1" x14ac:dyDescent="0.35">
      <c r="A59" s="3" t="s">
        <v>97</v>
      </c>
      <c r="B59" s="4"/>
      <c r="C59" s="4"/>
      <c r="D59" s="3"/>
      <c r="E59" s="3"/>
      <c r="F59" s="3"/>
      <c r="G59" s="3"/>
      <c r="H59" s="3"/>
      <c r="I59" s="3"/>
    </row>
  </sheetData>
  <mergeCells count="12">
    <mergeCell ref="K17:L17"/>
    <mergeCell ref="M17:N17"/>
    <mergeCell ref="O17:P17"/>
    <mergeCell ref="K18:L18"/>
    <mergeCell ref="M18:N18"/>
    <mergeCell ref="O18:P18"/>
    <mergeCell ref="K15:L15"/>
    <mergeCell ref="M15:N15"/>
    <mergeCell ref="O15:P15"/>
    <mergeCell ref="K16:L16"/>
    <mergeCell ref="M16:N16"/>
    <mergeCell ref="O16:P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5E63-AAC3-4AB1-8AEF-728D31E0B716}">
  <dimension ref="A1:Q31"/>
  <sheetViews>
    <sheetView zoomScale="85" zoomScaleNormal="85" workbookViewId="0">
      <selection activeCell="O7" sqref="O7"/>
    </sheetView>
  </sheetViews>
  <sheetFormatPr defaultRowHeight="14.4" x14ac:dyDescent="0.3"/>
  <cols>
    <col min="2" max="2" width="10.5546875" customWidth="1"/>
    <col min="3" max="3" width="8.109375" bestFit="1" customWidth="1"/>
    <col min="4" max="4" width="9.6640625" bestFit="1" customWidth="1"/>
    <col min="5" max="5" width="8.109375" bestFit="1" customWidth="1"/>
    <col min="6" max="6" width="9.6640625" bestFit="1" customWidth="1"/>
    <col min="7" max="7" width="8.109375" bestFit="1" customWidth="1"/>
    <col min="8" max="8" width="9.6640625" bestFit="1" customWidth="1"/>
    <col min="11" max="11" width="13" bestFit="1" customWidth="1"/>
    <col min="12" max="12" width="14.88671875" bestFit="1" customWidth="1"/>
    <col min="13" max="13" width="13" bestFit="1" customWidth="1"/>
    <col min="14" max="14" width="14.88671875" bestFit="1" customWidth="1"/>
    <col min="15" max="15" width="13" bestFit="1" customWidth="1"/>
    <col min="16" max="16" width="14.88671875" bestFit="1" customWidth="1"/>
    <col min="17" max="17" width="12" bestFit="1" customWidth="1"/>
  </cols>
  <sheetData>
    <row r="1" spans="1:16" ht="15" thickBot="1" x14ac:dyDescent="0.35"/>
    <row r="2" spans="1:16" ht="28.2" thickBot="1" x14ac:dyDescent="0.35">
      <c r="B2" s="3" t="s">
        <v>98</v>
      </c>
      <c r="C2" s="3" t="s">
        <v>74</v>
      </c>
      <c r="D2" s="17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99</v>
      </c>
      <c r="J2" s="3" t="s">
        <v>100</v>
      </c>
    </row>
    <row r="3" spans="1:16" ht="15" thickBot="1" x14ac:dyDescent="0.35">
      <c r="B3" s="4">
        <v>860</v>
      </c>
      <c r="C3" s="4">
        <f>19.91*$M$5</f>
        <v>228.44897408207345</v>
      </c>
      <c r="D3" s="18">
        <f>15.94*$M$5</f>
        <v>182.89686825053997</v>
      </c>
      <c r="E3" s="18">
        <f>19.91*$M$5</f>
        <v>228.44897408207345</v>
      </c>
      <c r="F3" s="18">
        <f>15.94*$M$5</f>
        <v>182.89686825053997</v>
      </c>
      <c r="G3" s="18">
        <f>19.91*$M$5</f>
        <v>228.44897408207345</v>
      </c>
      <c r="H3" s="18">
        <f>15.94*$M$5</f>
        <v>182.89686825053997</v>
      </c>
      <c r="I3" s="25">
        <f>SUM(C3,E3,G3)</f>
        <v>685.3469222462204</v>
      </c>
      <c r="J3" s="25">
        <f>SUM(D3+F3+H3)</f>
        <v>548.69060475161996</v>
      </c>
    </row>
    <row r="4" spans="1:16" ht="15" thickBot="1" x14ac:dyDescent="0.35">
      <c r="B4" s="4">
        <v>840</v>
      </c>
      <c r="C4" s="4">
        <f>8.86*$M$5</f>
        <v>101.66036717062634</v>
      </c>
      <c r="D4" s="18">
        <f>7.09*$M$5</f>
        <v>81.351241900647949</v>
      </c>
      <c r="E4" s="18">
        <f>8.86*$M$5</f>
        <v>101.66036717062634</v>
      </c>
      <c r="F4" s="18">
        <f>7.09*$M$5</f>
        <v>81.351241900647949</v>
      </c>
      <c r="G4" s="18">
        <f>8.86*$M$5</f>
        <v>101.66036717062634</v>
      </c>
      <c r="H4" s="18">
        <f>7.09*$M$5</f>
        <v>81.351241900647949</v>
      </c>
      <c r="I4" s="25">
        <f t="shared" ref="I4:I7" si="0">SUM(C4,E4,G4)</f>
        <v>304.98110151187905</v>
      </c>
      <c r="J4" s="25">
        <f t="shared" ref="J4:J7" si="1">SUM(D4+F4+H4)</f>
        <v>244.05372570194385</v>
      </c>
    </row>
    <row r="5" spans="1:16" ht="15" thickBot="1" x14ac:dyDescent="0.35">
      <c r="B5" s="4">
        <v>844</v>
      </c>
      <c r="C5" s="4">
        <f>133.44*$M$5</f>
        <v>1531.1015118790497</v>
      </c>
      <c r="D5" s="18">
        <f>106.83*$M$5</f>
        <v>1225.7761879049676</v>
      </c>
      <c r="E5" s="18">
        <f>133.44*$M$5</f>
        <v>1531.1015118790497</v>
      </c>
      <c r="F5" s="18">
        <f>106.83*$M$5</f>
        <v>1225.7761879049676</v>
      </c>
      <c r="G5" s="18">
        <f>133.44*$M$5</f>
        <v>1531.1015118790497</v>
      </c>
      <c r="H5" s="18">
        <f>106.83*$M$5</f>
        <v>1225.7761879049676</v>
      </c>
      <c r="I5" s="25">
        <f t="shared" si="0"/>
        <v>4593.3045356371495</v>
      </c>
      <c r="J5" s="25">
        <f t="shared" si="1"/>
        <v>3677.3285637149029</v>
      </c>
      <c r="L5" s="11" t="s">
        <v>93</v>
      </c>
      <c r="M5" s="12">
        <f>425/37.04</f>
        <v>11.474082073434126</v>
      </c>
    </row>
    <row r="6" spans="1:16" ht="15" thickBot="1" x14ac:dyDescent="0.35">
      <c r="B6" s="4">
        <v>848</v>
      </c>
      <c r="C6" s="4">
        <f>19.45*$M$5</f>
        <v>223.17089632829374</v>
      </c>
      <c r="D6" s="18">
        <f>15.57*$M$5</f>
        <v>178.65145788336935</v>
      </c>
      <c r="E6" s="18">
        <f>19.45*$M$5</f>
        <v>223.17089632829374</v>
      </c>
      <c r="F6" s="18">
        <f>15.57*$M$5</f>
        <v>178.65145788336935</v>
      </c>
      <c r="G6" s="18">
        <f>19.45*$M$5</f>
        <v>223.17089632829374</v>
      </c>
      <c r="H6" s="18">
        <f>15.57*$M$5</f>
        <v>178.65145788336935</v>
      </c>
      <c r="I6" s="25">
        <f t="shared" si="0"/>
        <v>669.51268898488115</v>
      </c>
      <c r="J6" s="25">
        <f t="shared" si="1"/>
        <v>535.95437365010798</v>
      </c>
    </row>
    <row r="7" spans="1:16" ht="15" thickBot="1" x14ac:dyDescent="0.35">
      <c r="B7" s="4">
        <v>890</v>
      </c>
      <c r="C7" s="4">
        <f>27*$M$5</f>
        <v>309.8002159827214</v>
      </c>
      <c r="D7" s="18">
        <f>21.62*$M$5</f>
        <v>248.06965442764582</v>
      </c>
      <c r="E7" s="18">
        <f>27*$M$5</f>
        <v>309.8002159827214</v>
      </c>
      <c r="F7" s="18">
        <f>21.62*$M$5</f>
        <v>248.06965442764582</v>
      </c>
      <c r="G7" s="18">
        <f>27*$M$5</f>
        <v>309.8002159827214</v>
      </c>
      <c r="H7" s="18">
        <f>21.62*$M$5</f>
        <v>248.06965442764582</v>
      </c>
      <c r="I7" s="25">
        <f t="shared" si="0"/>
        <v>929.40064794816419</v>
      </c>
      <c r="J7" s="25">
        <f t="shared" si="1"/>
        <v>744.20896328293748</v>
      </c>
    </row>
    <row r="8" spans="1:16" ht="15" thickBot="1" x14ac:dyDescent="0.35">
      <c r="B8" s="20" t="s">
        <v>92</v>
      </c>
      <c r="C8" s="21">
        <f>SUM(C3:C7)</f>
        <v>2394.1819654427645</v>
      </c>
      <c r="D8" s="22">
        <f t="shared" ref="D8:H8" si="2">SUM(D3:D7)</f>
        <v>1916.745410367171</v>
      </c>
      <c r="E8" s="22">
        <f t="shared" si="2"/>
        <v>2394.1819654427645</v>
      </c>
      <c r="F8" s="22">
        <f t="shared" si="2"/>
        <v>1916.745410367171</v>
      </c>
      <c r="G8" s="22">
        <f t="shared" si="2"/>
        <v>2394.1819654427645</v>
      </c>
      <c r="H8" s="22">
        <f t="shared" si="2"/>
        <v>1916.745410367171</v>
      </c>
    </row>
    <row r="9" spans="1:16" ht="15" thickBot="1" x14ac:dyDescent="0.35"/>
    <row r="10" spans="1:16" ht="28.2" thickBot="1" x14ac:dyDescent="0.35">
      <c r="A10" s="3" t="s">
        <v>68</v>
      </c>
      <c r="B10" s="3" t="s">
        <v>69</v>
      </c>
      <c r="C10" s="17" t="s">
        <v>74</v>
      </c>
      <c r="D10" s="3" t="s">
        <v>94</v>
      </c>
      <c r="E10" s="3" t="s">
        <v>76</v>
      </c>
      <c r="F10" s="3" t="s">
        <v>95</v>
      </c>
      <c r="G10" s="3" t="s">
        <v>78</v>
      </c>
      <c r="H10" s="3" t="s">
        <v>96</v>
      </c>
    </row>
    <row r="11" spans="1:16" ht="15" thickBot="1" x14ac:dyDescent="0.35">
      <c r="A11" s="4">
        <v>802</v>
      </c>
      <c r="B11" s="4">
        <v>806</v>
      </c>
      <c r="C11" s="18">
        <f>'Cargas Originais'!C11*$M$5</f>
        <v>0</v>
      </c>
      <c r="D11" s="18">
        <f>'Cargas Originais'!D11*$M$5</f>
        <v>0</v>
      </c>
      <c r="E11" s="18">
        <f>'Cargas Originais'!E11*$M$5</f>
        <v>358.22084233261342</v>
      </c>
      <c r="F11" s="18">
        <f>'Cargas Originais'!F11*$M$5</f>
        <v>185.1916846652268</v>
      </c>
      <c r="G11" s="18">
        <f>'Cargas Originais'!G11*$M$5</f>
        <v>299.12931965442766</v>
      </c>
      <c r="H11" s="18">
        <f>'Cargas Originais'!H11*$M$5</f>
        <v>154.67062634989202</v>
      </c>
    </row>
    <row r="12" spans="1:16" ht="15" thickBot="1" x14ac:dyDescent="0.35">
      <c r="A12" s="4">
        <v>808</v>
      </c>
      <c r="B12" s="4">
        <v>810</v>
      </c>
      <c r="C12" s="18">
        <f>'Cargas Originais'!C12*$M$5</f>
        <v>0</v>
      </c>
      <c r="D12" s="18">
        <f>'Cargas Originais'!D12*$M$5</f>
        <v>0</v>
      </c>
      <c r="E12" s="18">
        <f>'Cargas Originais'!E12*$M$5</f>
        <v>182.20842332613393</v>
      </c>
      <c r="F12" s="18">
        <f>'Cargas Originais'!F12*$M$5</f>
        <v>94.20221382289418</v>
      </c>
      <c r="G12" s="18">
        <f>'Cargas Originais'!G12*$M$5</f>
        <v>0</v>
      </c>
      <c r="H12" s="18">
        <f>'Cargas Originais'!H12*$M$5</f>
        <v>0</v>
      </c>
      <c r="K12" s="68" t="s">
        <v>80</v>
      </c>
      <c r="L12" s="69" t="s">
        <v>81</v>
      </c>
      <c r="M12" s="69" t="s">
        <v>82</v>
      </c>
      <c r="N12" s="69" t="s">
        <v>83</v>
      </c>
      <c r="O12" s="69" t="s">
        <v>84</v>
      </c>
      <c r="P12" s="70" t="s">
        <v>85</v>
      </c>
    </row>
    <row r="13" spans="1:16" ht="15" thickBot="1" x14ac:dyDescent="0.35">
      <c r="A13" s="4">
        <v>818</v>
      </c>
      <c r="B13" s="4">
        <v>820</v>
      </c>
      <c r="C13" s="18">
        <f>'Cargas Originais'!C13*$M$5</f>
        <v>388.97138228941685</v>
      </c>
      <c r="D13" s="18">
        <f>'Cargas Originais'!D13*$M$5</f>
        <v>201.02591792656588</v>
      </c>
      <c r="E13" s="18">
        <f>'Cargas Originais'!E13*$M$5</f>
        <v>0</v>
      </c>
      <c r="F13" s="18">
        <f>'Cargas Originais'!F13*$M$5</f>
        <v>0</v>
      </c>
      <c r="G13" s="18">
        <f>'Cargas Originais'!G13*$M$5</f>
        <v>0</v>
      </c>
      <c r="H13" s="18">
        <f>'Cargas Originais'!H13*$M$5</f>
        <v>0</v>
      </c>
      <c r="K13" s="67">
        <f>C8+C30</f>
        <v>5654.6571274298058</v>
      </c>
      <c r="L13" s="67">
        <f t="shared" ref="L13:P13" si="3">D8+D30</f>
        <v>3602.1733261339095</v>
      </c>
      <c r="M13" s="67">
        <f t="shared" si="3"/>
        <v>4771.4970302375805</v>
      </c>
      <c r="N13" s="67">
        <f t="shared" si="3"/>
        <v>3145.7343412526998</v>
      </c>
      <c r="O13" s="67">
        <f t="shared" si="3"/>
        <v>4946.5915226781854</v>
      </c>
      <c r="P13" s="67">
        <f t="shared" si="3"/>
        <v>3236.3795896328297</v>
      </c>
    </row>
    <row r="14" spans="1:16" ht="15" thickBot="1" x14ac:dyDescent="0.35">
      <c r="A14" s="4">
        <v>820</v>
      </c>
      <c r="B14" s="4">
        <v>822</v>
      </c>
      <c r="C14" s="18">
        <f>'Cargas Originais'!C14*$M$5</f>
        <v>1555.0823434125271</v>
      </c>
      <c r="D14" s="18">
        <f>'Cargas Originais'!D14*$M$5</f>
        <v>803.98893088552904</v>
      </c>
      <c r="E14" s="18">
        <f>'Cargas Originais'!E14*$M$5</f>
        <v>0</v>
      </c>
      <c r="F14" s="18">
        <f>'Cargas Originais'!F14*$M$5</f>
        <v>0</v>
      </c>
      <c r="G14" s="18">
        <f>'Cargas Originais'!G14*$M$5</f>
        <v>0</v>
      </c>
      <c r="H14" s="18">
        <f>'Cargas Originais'!H14*$M$5</f>
        <v>0</v>
      </c>
    </row>
    <row r="15" spans="1:16" ht="15" thickBot="1" x14ac:dyDescent="0.35">
      <c r="A15" s="4">
        <v>816</v>
      </c>
      <c r="B15" s="4">
        <v>824</v>
      </c>
      <c r="C15" s="18">
        <f>'Cargas Originais'!C15*$M$5</f>
        <v>0</v>
      </c>
      <c r="D15" s="18">
        <f>'Cargas Originais'!D15*$M$5</f>
        <v>0</v>
      </c>
      <c r="E15" s="18">
        <f>'Cargas Originais'!E15*$M$5</f>
        <v>4.4748920086393094</v>
      </c>
      <c r="F15" s="18">
        <f>'Cargas Originais'!F15*$M$5</f>
        <v>2.2948164146868253</v>
      </c>
      <c r="G15" s="18">
        <f>'Cargas Originais'!G15*$M$5</f>
        <v>0</v>
      </c>
      <c r="H15" s="18">
        <f>'Cargas Originais'!H15*$M$5</f>
        <v>0</v>
      </c>
    </row>
    <row r="16" spans="1:16" ht="15" thickBot="1" x14ac:dyDescent="0.35">
      <c r="A16" s="4">
        <v>824</v>
      </c>
      <c r="B16" s="4">
        <v>826</v>
      </c>
      <c r="C16" s="18">
        <f>'Cargas Originais'!C16*$M$5</f>
        <v>0</v>
      </c>
      <c r="D16" s="18">
        <f>'Cargas Originais'!D16*$M$5</f>
        <v>0</v>
      </c>
      <c r="E16" s="18">
        <f>'Cargas Originais'!E16*$M$5</f>
        <v>481.10826133909291</v>
      </c>
      <c r="F16" s="18">
        <f>'Cargas Originais'!F16*$M$5</f>
        <v>248.75809935205183</v>
      </c>
      <c r="G16" s="18">
        <f>'Cargas Originais'!G16*$M$5</f>
        <v>0</v>
      </c>
      <c r="H16" s="18">
        <f>'Cargas Originais'!H16*$M$5</f>
        <v>0</v>
      </c>
      <c r="K16" s="60" t="s">
        <v>86</v>
      </c>
      <c r="L16" s="61"/>
      <c r="M16" s="61" t="s">
        <v>87</v>
      </c>
      <c r="N16" s="61"/>
      <c r="O16" s="61" t="s">
        <v>88</v>
      </c>
      <c r="P16" s="62"/>
    </row>
    <row r="17" spans="1:17" ht="15" thickBot="1" x14ac:dyDescent="0.35">
      <c r="A17" s="4">
        <v>824</v>
      </c>
      <c r="B17" s="4">
        <v>828</v>
      </c>
      <c r="C17" s="18">
        <f>'Cargas Originais'!C17*$M$5</f>
        <v>0</v>
      </c>
      <c r="D17" s="18">
        <f>'Cargas Originais'!D17*$M$5</f>
        <v>0</v>
      </c>
      <c r="E17" s="18">
        <f>'Cargas Originais'!E17*$M$5</f>
        <v>0</v>
      </c>
      <c r="F17" s="18">
        <f>'Cargas Originais'!F17*$M$5</f>
        <v>0</v>
      </c>
      <c r="G17" s="18">
        <f>'Cargas Originais'!G17*$M$5</f>
        <v>31.897948164146868</v>
      </c>
      <c r="H17" s="18">
        <f>'Cargas Originais'!H17*$M$5</f>
        <v>16.522678185745139</v>
      </c>
      <c r="K17" s="63">
        <f>SQRT(K13*K13+L13*L13)</f>
        <v>6704.5357706781861</v>
      </c>
      <c r="L17" s="63"/>
      <c r="M17" s="63">
        <f>SQRT(M13*M13+N13*N13)</f>
        <v>5715.1402830816505</v>
      </c>
      <c r="N17" s="63"/>
      <c r="O17" s="64">
        <f>SQRT(O13*O13+P13*P13)</f>
        <v>5911.2537198485779</v>
      </c>
      <c r="P17" s="64"/>
    </row>
    <row r="18" spans="1:17" ht="15" thickBot="1" x14ac:dyDescent="0.35">
      <c r="A18" s="4">
        <v>828</v>
      </c>
      <c r="B18" s="4">
        <v>830</v>
      </c>
      <c r="C18" s="18">
        <f>'Cargas Originais'!C18*$M$5</f>
        <v>70.909827213822894</v>
      </c>
      <c r="D18" s="18">
        <f>'Cargas Originais'!D18*$M$5</f>
        <v>36.717062634989205</v>
      </c>
      <c r="E18" s="18">
        <f>'Cargas Originais'!E18*$M$5</f>
        <v>0</v>
      </c>
      <c r="F18" s="18">
        <f>'Cargas Originais'!F18*$M$5</f>
        <v>0</v>
      </c>
      <c r="G18" s="18">
        <f>'Cargas Originais'!G18*$M$5</f>
        <v>0</v>
      </c>
      <c r="H18" s="18">
        <f>'Cargas Originais'!H18*$M$5</f>
        <v>0</v>
      </c>
      <c r="K18" s="60" t="s">
        <v>89</v>
      </c>
      <c r="L18" s="61"/>
      <c r="M18" s="61" t="s">
        <v>90</v>
      </c>
      <c r="N18" s="61"/>
      <c r="O18" s="61" t="s">
        <v>91</v>
      </c>
      <c r="P18" s="62"/>
      <c r="Q18" s="58" t="s">
        <v>92</v>
      </c>
    </row>
    <row r="19" spans="1:17" ht="15" thickBot="1" x14ac:dyDescent="0.35">
      <c r="A19" s="4">
        <v>854</v>
      </c>
      <c r="B19" s="4">
        <v>856</v>
      </c>
      <c r="C19" s="18">
        <f>'Cargas Originais'!C19*$M$5</f>
        <v>0</v>
      </c>
      <c r="D19" s="18">
        <f>'Cargas Originais'!D19*$M$5</f>
        <v>0</v>
      </c>
      <c r="E19" s="18">
        <f>'Cargas Originais'!E19*$M$5</f>
        <v>42.568844492440604</v>
      </c>
      <c r="F19" s="18">
        <f>'Cargas Originais'!F19*$M$5</f>
        <v>22.030237580993521</v>
      </c>
      <c r="G19" s="18">
        <f>'Cargas Originais'!G19*$M$5</f>
        <v>0</v>
      </c>
      <c r="H19" s="18">
        <f>'Cargas Originais'!H19*$M$5</f>
        <v>0</v>
      </c>
      <c r="K19" s="65">
        <f>K17/(SQRT(3)*24.9)</f>
        <v>155.45644706797296</v>
      </c>
      <c r="L19" s="65"/>
      <c r="M19" s="65">
        <f t="shared" ref="M19" si="4">M17/(SQRT(3)*24.9)</f>
        <v>132.51557352986609</v>
      </c>
      <c r="N19" s="65"/>
      <c r="O19" s="65">
        <f t="shared" ref="O19" si="5">O17/(SQRT(3)*24.9)</f>
        <v>137.06280828926722</v>
      </c>
      <c r="P19" s="66"/>
      <c r="Q19" s="59">
        <f>K19+M19+O19</f>
        <v>425.0348288871063</v>
      </c>
    </row>
    <row r="20" spans="1:17" ht="15" thickBot="1" x14ac:dyDescent="0.35">
      <c r="A20" s="4">
        <v>832</v>
      </c>
      <c r="B20" s="4">
        <v>858</v>
      </c>
      <c r="C20" s="18">
        <f>'Cargas Originais'!C20*$M$5</f>
        <v>76.646868250539953</v>
      </c>
      <c r="D20" s="18">
        <f>'Cargas Originais'!D20*$M$5</f>
        <v>39.585583153347734</v>
      </c>
      <c r="E20" s="18">
        <f>'Cargas Originais'!E20*$M$5</f>
        <v>12.392008639308857</v>
      </c>
      <c r="F20" s="18">
        <f>'Cargas Originais'!F20*$M$5</f>
        <v>6.425485961123111</v>
      </c>
      <c r="G20" s="18">
        <f>'Cargas Originais'!G20*$M$5</f>
        <v>61.386339092872568</v>
      </c>
      <c r="H20" s="18">
        <f>'Cargas Originais'!H20*$M$5</f>
        <v>31.783207343412528</v>
      </c>
    </row>
    <row r="21" spans="1:17" ht="15" thickBot="1" x14ac:dyDescent="0.35">
      <c r="A21" s="4">
        <v>858</v>
      </c>
      <c r="B21" s="4">
        <v>864</v>
      </c>
      <c r="C21" s="18">
        <f>'Cargas Originais'!C21*$M$5</f>
        <v>7.2286717062634995</v>
      </c>
      <c r="D21" s="18">
        <f>'Cargas Originais'!D21*$M$5</f>
        <v>3.7864470842332616</v>
      </c>
      <c r="E21" s="18">
        <f>'Cargas Originais'!E21*$M$5</f>
        <v>0</v>
      </c>
      <c r="F21" s="18">
        <f>'Cargas Originais'!F21*$M$5</f>
        <v>0</v>
      </c>
      <c r="G21" s="18">
        <f>'Cargas Originais'!G21*$M$5</f>
        <v>0</v>
      </c>
      <c r="H21" s="18">
        <f>'Cargas Originais'!H21*$M$5</f>
        <v>0</v>
      </c>
    </row>
    <row r="22" spans="1:17" ht="15" thickBot="1" x14ac:dyDescent="0.35">
      <c r="A22" s="4">
        <v>858</v>
      </c>
      <c r="B22" s="4">
        <v>834</v>
      </c>
      <c r="C22" s="18">
        <f>'Cargas Originais'!C22*$M$5</f>
        <v>45.781587473002162</v>
      </c>
      <c r="D22" s="18">
        <f>'Cargas Originais'!D22*$M$5</f>
        <v>23.6366090712743</v>
      </c>
      <c r="E22" s="18">
        <f>'Cargas Originais'!E22*$M$5</f>
        <v>143.99973002159828</v>
      </c>
      <c r="F22" s="18">
        <f>'Cargas Originais'!F22*$M$5</f>
        <v>74.466792656587472</v>
      </c>
      <c r="G22" s="18">
        <f>'Cargas Originais'!G22*$M$5</f>
        <v>147.0977321814255</v>
      </c>
      <c r="H22" s="18">
        <f>'Cargas Originais'!H22*$M$5</f>
        <v>76.073164146868251</v>
      </c>
    </row>
    <row r="23" spans="1:17" ht="15" thickBot="1" x14ac:dyDescent="0.35">
      <c r="A23" s="4">
        <v>834</v>
      </c>
      <c r="B23" s="4">
        <v>860</v>
      </c>
      <c r="C23" s="18">
        <f>'Cargas Originais'!C23*$M$5</f>
        <v>179.68412526997841</v>
      </c>
      <c r="D23" s="18">
        <f>'Cargas Originais'!D23*$M$5</f>
        <v>92.825323974082067</v>
      </c>
      <c r="E23" s="18">
        <f>'Cargas Originais'!E23*$M$5</f>
        <v>239.34935205183587</v>
      </c>
      <c r="F23" s="18">
        <f>'Cargas Originais'!F23*$M$5</f>
        <v>123.69060475161987</v>
      </c>
      <c r="G23" s="18">
        <f>'Cargas Originais'!G23*$M$5</f>
        <v>1275.3442224622031</v>
      </c>
      <c r="H23" s="18">
        <f>'Cargas Originais'!H23*$M$5</f>
        <v>659.30075593952483</v>
      </c>
    </row>
    <row r="24" spans="1:17" ht="15" thickBot="1" x14ac:dyDescent="0.35">
      <c r="A24" s="4">
        <v>860</v>
      </c>
      <c r="B24" s="4">
        <v>836</v>
      </c>
      <c r="C24" s="18">
        <f>'Cargas Originais'!C24*$M$5</f>
        <v>314.04562634989202</v>
      </c>
      <c r="D24" s="18">
        <f>'Cargas Originais'!D24*$M$5</f>
        <v>162.35826133909288</v>
      </c>
      <c r="E24" s="18">
        <f>'Cargas Originais'!E24*$M$5</f>
        <v>121.05156587473003</v>
      </c>
      <c r="F24" s="18">
        <f>'Cargas Originais'!F24*$M$5</f>
        <v>62.533747300215985</v>
      </c>
      <c r="G24" s="18">
        <f>'Cargas Originais'!G24*$M$5</f>
        <v>482.48515118790493</v>
      </c>
      <c r="H24" s="18">
        <f>'Cargas Originais'!H24*$M$5</f>
        <v>249.44654427645787</v>
      </c>
    </row>
    <row r="25" spans="1:17" ht="15" thickBot="1" x14ac:dyDescent="0.35">
      <c r="A25" s="4">
        <v>836</v>
      </c>
      <c r="B25" s="4">
        <v>840</v>
      </c>
      <c r="C25" s="18">
        <f>'Cargas Originais'!C25*$M$5</f>
        <v>200.68169546436283</v>
      </c>
      <c r="D25" s="18">
        <f>'Cargas Originais'!D25*$M$5</f>
        <v>103.72570194384448</v>
      </c>
      <c r="E25" s="18">
        <f>'Cargas Originais'!E25*$M$5</f>
        <v>250.24973002159825</v>
      </c>
      <c r="F25" s="18">
        <f>'Cargas Originais'!F25*$M$5</f>
        <v>129.31290496760258</v>
      </c>
      <c r="G25" s="18">
        <f>'Cargas Originais'!G25*$M$5</f>
        <v>0</v>
      </c>
      <c r="H25" s="18">
        <f>'Cargas Originais'!H25*$M$5</f>
        <v>0</v>
      </c>
    </row>
    <row r="26" spans="1:17" ht="15" thickBot="1" x14ac:dyDescent="0.35">
      <c r="A26" s="4">
        <v>862</v>
      </c>
      <c r="B26" s="4">
        <v>838</v>
      </c>
      <c r="C26" s="18">
        <f>'Cargas Originais'!C26*$M$5</f>
        <v>316.79940604751619</v>
      </c>
      <c r="D26" s="18">
        <f>'Cargas Originais'!D26*$M$5</f>
        <v>163.73515118790496</v>
      </c>
      <c r="E26" s="18">
        <f>'Cargas Originais'!E26*$M$5</f>
        <v>0</v>
      </c>
      <c r="F26" s="18">
        <f>'Cargas Originais'!F26*$M$5</f>
        <v>0</v>
      </c>
      <c r="G26" s="18">
        <f>'Cargas Originais'!G26*$M$5</f>
        <v>0</v>
      </c>
      <c r="H26" s="18">
        <f>'Cargas Originais'!H26*$M$5</f>
        <v>0</v>
      </c>
    </row>
    <row r="27" spans="1:17" ht="15" thickBot="1" x14ac:dyDescent="0.35">
      <c r="A27" s="4">
        <v>842</v>
      </c>
      <c r="B27" s="4">
        <v>844</v>
      </c>
      <c r="C27" s="18">
        <f>'Cargas Originais'!C27*$M$5</f>
        <v>104.64362850971922</v>
      </c>
      <c r="D27" s="18">
        <f>'Cargas Originais'!D27*$M$5</f>
        <v>54.04292656587473</v>
      </c>
      <c r="E27" s="18">
        <f>'Cargas Originais'!E27*$M$5</f>
        <v>0</v>
      </c>
      <c r="F27" s="18">
        <f>'Cargas Originais'!F27*$M$5</f>
        <v>0</v>
      </c>
      <c r="G27" s="18">
        <f>'Cargas Originais'!G27*$M$5</f>
        <v>0</v>
      </c>
      <c r="H27" s="18">
        <f>'Cargas Originais'!H27*$M$5</f>
        <v>0</v>
      </c>
    </row>
    <row r="28" spans="1:17" ht="15" thickBot="1" x14ac:dyDescent="0.35">
      <c r="A28" s="4">
        <v>844</v>
      </c>
      <c r="B28" s="4">
        <v>846</v>
      </c>
      <c r="C28" s="18">
        <f>'Cargas Originais'!C28*$M$5</f>
        <v>0</v>
      </c>
      <c r="D28" s="18">
        <f>'Cargas Originais'!D28*$M$5</f>
        <v>0</v>
      </c>
      <c r="E28" s="18">
        <f>'Cargas Originais'!E28*$M$5</f>
        <v>282.14767818574512</v>
      </c>
      <c r="F28" s="18">
        <f>'Cargas Originais'!F28*$M$5</f>
        <v>145.83558315334776</v>
      </c>
      <c r="G28" s="18">
        <f>'Cargas Originais'!G28*$M$5</f>
        <v>255.0688444924406</v>
      </c>
      <c r="H28" s="18">
        <f>'Cargas Originais'!H28*$M$5</f>
        <v>131.83720302375809</v>
      </c>
    </row>
    <row r="29" spans="1:17" ht="15" thickBot="1" x14ac:dyDescent="0.35">
      <c r="A29" s="4">
        <v>846</v>
      </c>
      <c r="B29" s="4">
        <v>848</v>
      </c>
      <c r="C29" s="18">
        <f>'Cargas Originais'!C29*$M$5</f>
        <v>0</v>
      </c>
      <c r="D29" s="18">
        <f>'Cargas Originais'!D29*$M$5</f>
        <v>0</v>
      </c>
      <c r="E29" s="18">
        <f>'Cargas Originais'!E29*$M$5</f>
        <v>259.54373650107993</v>
      </c>
      <c r="F29" s="18">
        <f>'Cargas Originais'!F29*$M$5</f>
        <v>134.24676025917927</v>
      </c>
      <c r="G29" s="18">
        <f>'Cargas Originais'!G29*$M$5</f>
        <v>0</v>
      </c>
      <c r="H29" s="18">
        <f>'Cargas Originais'!H29*$M$5</f>
        <v>0</v>
      </c>
    </row>
    <row r="30" spans="1:17" ht="15" thickBot="1" x14ac:dyDescent="0.35">
      <c r="B30" s="23" t="s">
        <v>92</v>
      </c>
      <c r="C30" s="22">
        <f>SUM(C11:C29)</f>
        <v>3260.4751619870412</v>
      </c>
      <c r="D30" s="22">
        <f t="shared" ref="D30:H30" si="6">SUM(D11:D29)</f>
        <v>1685.4279157667384</v>
      </c>
      <c r="E30" s="22">
        <f t="shared" si="6"/>
        <v>2377.3150647948164</v>
      </c>
      <c r="F30" s="22">
        <f t="shared" si="6"/>
        <v>1228.988930885529</v>
      </c>
      <c r="G30" s="22">
        <f t="shared" si="6"/>
        <v>2552.4095572354213</v>
      </c>
      <c r="H30" s="22">
        <f t="shared" si="6"/>
        <v>1319.6341792656588</v>
      </c>
    </row>
    <row r="31" spans="1:17" ht="15" thickBot="1" x14ac:dyDescent="0.35">
      <c r="C31" s="11"/>
      <c r="D31" s="16"/>
      <c r="E31" s="16"/>
      <c r="F31" s="16"/>
      <c r="G31" s="16"/>
      <c r="H31" s="12"/>
    </row>
  </sheetData>
  <mergeCells count="12">
    <mergeCell ref="K18:L18"/>
    <mergeCell ref="M18:N18"/>
    <mergeCell ref="O18:P18"/>
    <mergeCell ref="K19:L19"/>
    <mergeCell ref="M19:N19"/>
    <mergeCell ref="O19:P19"/>
    <mergeCell ref="K16:L16"/>
    <mergeCell ref="M16:N16"/>
    <mergeCell ref="O16:P16"/>
    <mergeCell ref="K17:L17"/>
    <mergeCell ref="M17:N17"/>
    <mergeCell ref="O17:P17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37DD-F28C-4412-A8D5-2F6281D0A6C2}">
  <dimension ref="A1:T21"/>
  <sheetViews>
    <sheetView zoomScale="85" zoomScaleNormal="85" workbookViewId="0">
      <selection sqref="A1:U21"/>
    </sheetView>
  </sheetViews>
  <sheetFormatPr defaultRowHeight="14.4" x14ac:dyDescent="0.3"/>
  <cols>
    <col min="5" max="5" width="9.88671875" bestFit="1" customWidth="1"/>
    <col min="6" max="6" width="11.77734375" customWidth="1"/>
    <col min="7" max="8" width="12.33203125" bestFit="1" customWidth="1"/>
    <col min="11" max="12" width="13.44140625" bestFit="1" customWidth="1"/>
    <col min="13" max="14" width="12.6640625" bestFit="1" customWidth="1"/>
    <col min="17" max="18" width="12.6640625" bestFit="1" customWidth="1"/>
    <col min="19" max="20" width="13.44140625" bestFit="1" customWidth="1"/>
  </cols>
  <sheetData>
    <row r="1" spans="1:20" ht="28.2" thickBot="1" x14ac:dyDescent="0.35">
      <c r="A1" s="28" t="s">
        <v>68</v>
      </c>
      <c r="B1" s="28" t="s">
        <v>69</v>
      </c>
      <c r="C1" s="29" t="s">
        <v>74</v>
      </c>
      <c r="D1" s="28" t="s">
        <v>94</v>
      </c>
      <c r="E1" s="20" t="s">
        <v>101</v>
      </c>
      <c r="F1" s="20" t="s">
        <v>102</v>
      </c>
      <c r="G1" s="20" t="s">
        <v>103</v>
      </c>
      <c r="H1" s="20" t="s">
        <v>104</v>
      </c>
      <c r="I1" s="28" t="s">
        <v>76</v>
      </c>
      <c r="J1" s="28" t="s">
        <v>95</v>
      </c>
      <c r="K1" s="20" t="s">
        <v>101</v>
      </c>
      <c r="L1" s="20" t="s">
        <v>102</v>
      </c>
      <c r="M1" s="20" t="s">
        <v>103</v>
      </c>
      <c r="N1" s="20" t="s">
        <v>104</v>
      </c>
      <c r="O1" s="28" t="s">
        <v>78</v>
      </c>
      <c r="P1" s="28" t="s">
        <v>96</v>
      </c>
      <c r="Q1" s="20" t="s">
        <v>101</v>
      </c>
      <c r="R1" s="20" t="s">
        <v>102</v>
      </c>
      <c r="S1" s="20" t="s">
        <v>103</v>
      </c>
      <c r="T1" s="20" t="s">
        <v>104</v>
      </c>
    </row>
    <row r="2" spans="1:20" ht="15" thickBot="1" x14ac:dyDescent="0.35">
      <c r="A2" s="30">
        <v>802</v>
      </c>
      <c r="B2" s="30">
        <v>806</v>
      </c>
      <c r="C2" s="31">
        <v>0</v>
      </c>
      <c r="D2" s="31">
        <v>0</v>
      </c>
      <c r="E2" s="27">
        <f>C2/2</f>
        <v>0</v>
      </c>
      <c r="F2" s="27">
        <f>D2/2</f>
        <v>0</v>
      </c>
      <c r="G2" s="27">
        <f>E2</f>
        <v>0</v>
      </c>
      <c r="H2" s="27">
        <f>F2</f>
        <v>0</v>
      </c>
      <c r="I2" s="31">
        <v>358.22084233261342</v>
      </c>
      <c r="J2" s="31">
        <v>185.1916846652268</v>
      </c>
      <c r="K2" s="33">
        <f>I2/2</f>
        <v>179.11042116630671</v>
      </c>
      <c r="L2" s="33">
        <f>J2/2</f>
        <v>92.595842332613401</v>
      </c>
      <c r="M2" s="33">
        <f>K2</f>
        <v>179.11042116630671</v>
      </c>
      <c r="N2" s="33">
        <f>L2</f>
        <v>92.595842332613401</v>
      </c>
      <c r="O2" s="31">
        <v>299.12931965442766</v>
      </c>
      <c r="P2" s="31">
        <v>154.67062634989202</v>
      </c>
      <c r="Q2" s="32">
        <f>O2/2</f>
        <v>149.56465982721383</v>
      </c>
      <c r="R2" s="32">
        <f>P2/2</f>
        <v>77.335313174946009</v>
      </c>
      <c r="S2" s="32">
        <f>Q2</f>
        <v>149.56465982721383</v>
      </c>
      <c r="T2" s="32">
        <f>R2/2</f>
        <v>38.667656587473004</v>
      </c>
    </row>
    <row r="3" spans="1:20" ht="15" thickBot="1" x14ac:dyDescent="0.35">
      <c r="A3" s="30">
        <v>808</v>
      </c>
      <c r="B3" s="30">
        <v>810</v>
      </c>
      <c r="C3" s="31">
        <v>0</v>
      </c>
      <c r="D3" s="31">
        <v>0</v>
      </c>
      <c r="E3" s="27">
        <f t="shared" ref="E3:E20" si="0">C3/2</f>
        <v>0</v>
      </c>
      <c r="F3" s="27">
        <f t="shared" ref="F3:F20" si="1">D3/2</f>
        <v>0</v>
      </c>
      <c r="G3" s="27">
        <f t="shared" ref="G3:G20" si="2">E3</f>
        <v>0</v>
      </c>
      <c r="H3" s="27">
        <f t="shared" ref="H3:H20" si="3">F3</f>
        <v>0</v>
      </c>
      <c r="I3" s="31">
        <v>182.20842332613393</v>
      </c>
      <c r="J3" s="31">
        <v>94.20221382289418</v>
      </c>
      <c r="K3" s="33">
        <f t="shared" ref="K3:K20" si="4">I3/2</f>
        <v>91.104211663066963</v>
      </c>
      <c r="L3" s="33">
        <f t="shared" ref="L3:L20" si="5">J3/2</f>
        <v>47.10110691144709</v>
      </c>
      <c r="M3" s="33">
        <f t="shared" ref="M3:M20" si="6">K3</f>
        <v>91.104211663066963</v>
      </c>
      <c r="N3" s="33">
        <f t="shared" ref="N3:N20" si="7">L3</f>
        <v>47.10110691144709</v>
      </c>
      <c r="O3" s="31">
        <v>0</v>
      </c>
      <c r="P3" s="31">
        <v>0</v>
      </c>
      <c r="Q3" s="26">
        <f t="shared" ref="Q3:Q20" si="8">O3/2</f>
        <v>0</v>
      </c>
      <c r="R3" s="26">
        <f t="shared" ref="R3:R20" si="9">P3/2</f>
        <v>0</v>
      </c>
      <c r="S3" s="26">
        <f t="shared" ref="S3:S20" si="10">Q3</f>
        <v>0</v>
      </c>
      <c r="T3" s="26">
        <f t="shared" ref="T3:T20" si="11">R3/2</f>
        <v>0</v>
      </c>
    </row>
    <row r="4" spans="1:20" ht="15" thickBot="1" x14ac:dyDescent="0.35">
      <c r="A4" s="30">
        <v>818</v>
      </c>
      <c r="B4" s="30">
        <v>820</v>
      </c>
      <c r="C4" s="31">
        <v>388.97138228941685</v>
      </c>
      <c r="D4" s="31">
        <v>201.02591792656588</v>
      </c>
      <c r="E4" s="33">
        <f t="shared" si="0"/>
        <v>194.48569114470843</v>
      </c>
      <c r="F4" s="33">
        <f t="shared" si="1"/>
        <v>100.51295896328294</v>
      </c>
      <c r="G4" s="33">
        <f t="shared" si="2"/>
        <v>194.48569114470843</v>
      </c>
      <c r="H4" s="33">
        <f t="shared" si="3"/>
        <v>100.51295896328294</v>
      </c>
      <c r="I4" s="31">
        <v>0</v>
      </c>
      <c r="J4" s="31">
        <v>0</v>
      </c>
      <c r="K4" s="27">
        <f t="shared" si="4"/>
        <v>0</v>
      </c>
      <c r="L4" s="27">
        <f t="shared" si="5"/>
        <v>0</v>
      </c>
      <c r="M4" s="27">
        <f t="shared" si="6"/>
        <v>0</v>
      </c>
      <c r="N4" s="27">
        <f t="shared" si="7"/>
        <v>0</v>
      </c>
      <c r="O4" s="31">
        <v>0</v>
      </c>
      <c r="P4" s="31">
        <v>0</v>
      </c>
      <c r="Q4" s="26">
        <f t="shared" si="8"/>
        <v>0</v>
      </c>
      <c r="R4" s="26">
        <f t="shared" si="9"/>
        <v>0</v>
      </c>
      <c r="S4" s="26">
        <f t="shared" si="10"/>
        <v>0</v>
      </c>
      <c r="T4" s="26">
        <f t="shared" si="11"/>
        <v>0</v>
      </c>
    </row>
    <row r="5" spans="1:20" ht="15" thickBot="1" x14ac:dyDescent="0.35">
      <c r="A5" s="30">
        <v>820</v>
      </c>
      <c r="B5" s="30">
        <v>822</v>
      </c>
      <c r="C5" s="31">
        <v>1555.0823434125271</v>
      </c>
      <c r="D5" s="31">
        <v>803.98893088552904</v>
      </c>
      <c r="E5" s="33">
        <f t="shared" si="0"/>
        <v>777.54117170626353</v>
      </c>
      <c r="F5" s="33">
        <f t="shared" si="1"/>
        <v>401.99446544276452</v>
      </c>
      <c r="G5" s="33">
        <f t="shared" si="2"/>
        <v>777.54117170626353</v>
      </c>
      <c r="H5" s="33">
        <f t="shared" si="3"/>
        <v>401.99446544276452</v>
      </c>
      <c r="I5" s="31">
        <v>0</v>
      </c>
      <c r="J5" s="31">
        <v>0</v>
      </c>
      <c r="K5" s="27">
        <f t="shared" si="4"/>
        <v>0</v>
      </c>
      <c r="L5" s="27">
        <f t="shared" si="5"/>
        <v>0</v>
      </c>
      <c r="M5" s="27">
        <f t="shared" si="6"/>
        <v>0</v>
      </c>
      <c r="N5" s="27">
        <f t="shared" si="7"/>
        <v>0</v>
      </c>
      <c r="O5" s="31">
        <v>0</v>
      </c>
      <c r="P5" s="31">
        <v>0</v>
      </c>
      <c r="Q5" s="26">
        <f t="shared" si="8"/>
        <v>0</v>
      </c>
      <c r="R5" s="26">
        <f t="shared" si="9"/>
        <v>0</v>
      </c>
      <c r="S5" s="26">
        <f t="shared" si="10"/>
        <v>0</v>
      </c>
      <c r="T5" s="26">
        <f t="shared" si="11"/>
        <v>0</v>
      </c>
    </row>
    <row r="6" spans="1:20" ht="15" thickBot="1" x14ac:dyDescent="0.35">
      <c r="A6" s="30">
        <v>816</v>
      </c>
      <c r="B6" s="30">
        <v>824</v>
      </c>
      <c r="C6" s="31">
        <v>0</v>
      </c>
      <c r="D6" s="31">
        <v>0</v>
      </c>
      <c r="E6" s="27">
        <f t="shared" si="0"/>
        <v>0</v>
      </c>
      <c r="F6" s="27">
        <f t="shared" si="1"/>
        <v>0</v>
      </c>
      <c r="G6" s="27">
        <f t="shared" si="2"/>
        <v>0</v>
      </c>
      <c r="H6" s="27">
        <f t="shared" si="3"/>
        <v>0</v>
      </c>
      <c r="I6" s="31">
        <v>4.4748920086393094</v>
      </c>
      <c r="J6" s="31">
        <v>2.2948164146868253</v>
      </c>
      <c r="K6" s="33">
        <f t="shared" si="4"/>
        <v>2.2374460043196547</v>
      </c>
      <c r="L6" s="33">
        <f t="shared" si="5"/>
        <v>1.1474082073434126</v>
      </c>
      <c r="M6" s="33">
        <f t="shared" si="6"/>
        <v>2.2374460043196547</v>
      </c>
      <c r="N6" s="33">
        <f t="shared" si="7"/>
        <v>1.1474082073434126</v>
      </c>
      <c r="O6" s="31">
        <v>0</v>
      </c>
      <c r="P6" s="31">
        <v>0</v>
      </c>
      <c r="Q6" s="26">
        <f t="shared" si="8"/>
        <v>0</v>
      </c>
      <c r="R6" s="26">
        <f t="shared" si="9"/>
        <v>0</v>
      </c>
      <c r="S6" s="26">
        <f t="shared" si="10"/>
        <v>0</v>
      </c>
      <c r="T6" s="26">
        <f t="shared" si="11"/>
        <v>0</v>
      </c>
    </row>
    <row r="7" spans="1:20" ht="15" thickBot="1" x14ac:dyDescent="0.35">
      <c r="A7" s="30">
        <v>824</v>
      </c>
      <c r="B7" s="30">
        <v>826</v>
      </c>
      <c r="C7" s="31">
        <v>0</v>
      </c>
      <c r="D7" s="31">
        <v>0</v>
      </c>
      <c r="E7" s="27">
        <f t="shared" si="0"/>
        <v>0</v>
      </c>
      <c r="F7" s="27">
        <f t="shared" si="1"/>
        <v>0</v>
      </c>
      <c r="G7" s="27">
        <f t="shared" si="2"/>
        <v>0</v>
      </c>
      <c r="H7" s="27">
        <f t="shared" si="3"/>
        <v>0</v>
      </c>
      <c r="I7" s="31">
        <v>481.10826133909291</v>
      </c>
      <c r="J7" s="31">
        <v>248.75809935205183</v>
      </c>
      <c r="K7" s="33">
        <f t="shared" si="4"/>
        <v>240.55413066954645</v>
      </c>
      <c r="L7" s="33">
        <f t="shared" si="5"/>
        <v>124.37904967602591</v>
      </c>
      <c r="M7" s="33">
        <f t="shared" si="6"/>
        <v>240.55413066954645</v>
      </c>
      <c r="N7" s="33">
        <f t="shared" si="7"/>
        <v>124.37904967602591</v>
      </c>
      <c r="O7" s="31">
        <v>0</v>
      </c>
      <c r="P7" s="31">
        <v>0</v>
      </c>
      <c r="Q7" s="26">
        <f t="shared" si="8"/>
        <v>0</v>
      </c>
      <c r="R7" s="26">
        <f t="shared" si="9"/>
        <v>0</v>
      </c>
      <c r="S7" s="26">
        <f t="shared" si="10"/>
        <v>0</v>
      </c>
      <c r="T7" s="26">
        <f t="shared" si="11"/>
        <v>0</v>
      </c>
    </row>
    <row r="8" spans="1:20" ht="15" thickBot="1" x14ac:dyDescent="0.35">
      <c r="A8" s="30">
        <v>824</v>
      </c>
      <c r="B8" s="30">
        <v>828</v>
      </c>
      <c r="C8" s="31">
        <v>0</v>
      </c>
      <c r="D8" s="31">
        <v>0</v>
      </c>
      <c r="E8" s="27">
        <f t="shared" si="0"/>
        <v>0</v>
      </c>
      <c r="F8" s="27">
        <f t="shared" si="1"/>
        <v>0</v>
      </c>
      <c r="G8" s="27">
        <f t="shared" si="2"/>
        <v>0</v>
      </c>
      <c r="H8" s="27">
        <f t="shared" si="3"/>
        <v>0</v>
      </c>
      <c r="I8" s="31">
        <v>0</v>
      </c>
      <c r="J8" s="31">
        <v>0</v>
      </c>
      <c r="K8" s="27">
        <f t="shared" si="4"/>
        <v>0</v>
      </c>
      <c r="L8" s="27">
        <f t="shared" si="5"/>
        <v>0</v>
      </c>
      <c r="M8" s="27">
        <f t="shared" si="6"/>
        <v>0</v>
      </c>
      <c r="N8" s="27">
        <f t="shared" si="7"/>
        <v>0</v>
      </c>
      <c r="O8" s="31">
        <v>31.897948164146868</v>
      </c>
      <c r="P8" s="31">
        <v>16.522678185745139</v>
      </c>
      <c r="Q8" s="32">
        <f t="shared" si="8"/>
        <v>15.948974082073434</v>
      </c>
      <c r="R8" s="32">
        <f t="shared" si="9"/>
        <v>8.2613390928725696</v>
      </c>
      <c r="S8" s="32">
        <f t="shared" si="10"/>
        <v>15.948974082073434</v>
      </c>
      <c r="T8" s="32">
        <f t="shared" si="11"/>
        <v>4.1306695464362848</v>
      </c>
    </row>
    <row r="9" spans="1:20" ht="15" thickBot="1" x14ac:dyDescent="0.35">
      <c r="A9" s="30">
        <v>828</v>
      </c>
      <c r="B9" s="30">
        <v>830</v>
      </c>
      <c r="C9" s="31">
        <v>70.909827213822894</v>
      </c>
      <c r="D9" s="31">
        <v>36.717062634989205</v>
      </c>
      <c r="E9" s="33">
        <f t="shared" si="0"/>
        <v>35.454913606911447</v>
      </c>
      <c r="F9" s="33">
        <f t="shared" si="1"/>
        <v>18.358531317494602</v>
      </c>
      <c r="G9" s="33">
        <f t="shared" si="2"/>
        <v>35.454913606911447</v>
      </c>
      <c r="H9" s="33">
        <f t="shared" si="3"/>
        <v>18.358531317494602</v>
      </c>
      <c r="I9" s="31">
        <v>0</v>
      </c>
      <c r="J9" s="31">
        <v>0</v>
      </c>
      <c r="K9" s="27">
        <f t="shared" si="4"/>
        <v>0</v>
      </c>
      <c r="L9" s="27">
        <f t="shared" si="5"/>
        <v>0</v>
      </c>
      <c r="M9" s="27">
        <f t="shared" si="6"/>
        <v>0</v>
      </c>
      <c r="N9" s="27">
        <f t="shared" si="7"/>
        <v>0</v>
      </c>
      <c r="O9" s="31">
        <v>0</v>
      </c>
      <c r="P9" s="31">
        <v>0</v>
      </c>
      <c r="Q9" s="26">
        <f t="shared" si="8"/>
        <v>0</v>
      </c>
      <c r="R9" s="26">
        <f t="shared" si="9"/>
        <v>0</v>
      </c>
      <c r="S9" s="26">
        <f t="shared" si="10"/>
        <v>0</v>
      </c>
      <c r="T9" s="26">
        <f t="shared" si="11"/>
        <v>0</v>
      </c>
    </row>
    <row r="10" spans="1:20" ht="15" thickBot="1" x14ac:dyDescent="0.35">
      <c r="A10" s="30">
        <v>854</v>
      </c>
      <c r="B10" s="30">
        <v>856</v>
      </c>
      <c r="C10" s="31">
        <v>0</v>
      </c>
      <c r="D10" s="31">
        <v>0</v>
      </c>
      <c r="E10" s="27">
        <f t="shared" si="0"/>
        <v>0</v>
      </c>
      <c r="F10" s="27">
        <f t="shared" si="1"/>
        <v>0</v>
      </c>
      <c r="G10" s="27">
        <f t="shared" si="2"/>
        <v>0</v>
      </c>
      <c r="H10" s="27">
        <f t="shared" si="3"/>
        <v>0</v>
      </c>
      <c r="I10" s="31">
        <v>42.568844492440604</v>
      </c>
      <c r="J10" s="31">
        <v>22.030237580993521</v>
      </c>
      <c r="K10" s="33">
        <f t="shared" si="4"/>
        <v>21.284422246220302</v>
      </c>
      <c r="L10" s="33">
        <f t="shared" si="5"/>
        <v>11.015118790496761</v>
      </c>
      <c r="M10" s="33">
        <f t="shared" si="6"/>
        <v>21.284422246220302</v>
      </c>
      <c r="N10" s="33">
        <f t="shared" si="7"/>
        <v>11.015118790496761</v>
      </c>
      <c r="O10" s="31">
        <v>0</v>
      </c>
      <c r="P10" s="31">
        <v>0</v>
      </c>
      <c r="Q10" s="26">
        <f t="shared" si="8"/>
        <v>0</v>
      </c>
      <c r="R10" s="26">
        <f t="shared" si="9"/>
        <v>0</v>
      </c>
      <c r="S10" s="26">
        <f t="shared" si="10"/>
        <v>0</v>
      </c>
      <c r="T10" s="26">
        <f t="shared" si="11"/>
        <v>0</v>
      </c>
    </row>
    <row r="11" spans="1:20" ht="15" thickBot="1" x14ac:dyDescent="0.35">
      <c r="A11" s="30">
        <v>832</v>
      </c>
      <c r="B11" s="30">
        <v>858</v>
      </c>
      <c r="C11" s="31">
        <v>76.646868250539953</v>
      </c>
      <c r="D11" s="31">
        <v>39.585583153347734</v>
      </c>
      <c r="E11" s="33">
        <f t="shared" si="0"/>
        <v>38.323434125269976</v>
      </c>
      <c r="F11" s="33">
        <f t="shared" si="1"/>
        <v>19.792791576673867</v>
      </c>
      <c r="G11" s="33">
        <f t="shared" si="2"/>
        <v>38.323434125269976</v>
      </c>
      <c r="H11" s="33">
        <f t="shared" si="3"/>
        <v>19.792791576673867</v>
      </c>
      <c r="I11" s="31">
        <v>12.392008639308857</v>
      </c>
      <c r="J11" s="31">
        <v>6.425485961123111</v>
      </c>
      <c r="K11" s="33">
        <f t="shared" si="4"/>
        <v>6.1960043196544285</v>
      </c>
      <c r="L11" s="33">
        <f t="shared" si="5"/>
        <v>3.2127429805615555</v>
      </c>
      <c r="M11" s="33">
        <f t="shared" si="6"/>
        <v>6.1960043196544285</v>
      </c>
      <c r="N11" s="33">
        <f t="shared" si="7"/>
        <v>3.2127429805615555</v>
      </c>
      <c r="O11" s="31">
        <v>61.386339092872568</v>
      </c>
      <c r="P11" s="31">
        <v>31.783207343412528</v>
      </c>
      <c r="Q11" s="32">
        <f t="shared" si="8"/>
        <v>30.693169546436284</v>
      </c>
      <c r="R11" s="32">
        <f t="shared" si="9"/>
        <v>15.891603671706264</v>
      </c>
      <c r="S11" s="32">
        <f t="shared" si="10"/>
        <v>30.693169546436284</v>
      </c>
      <c r="T11" s="32">
        <f t="shared" si="11"/>
        <v>7.9458018358531319</v>
      </c>
    </row>
    <row r="12" spans="1:20" ht="15" thickBot="1" x14ac:dyDescent="0.35">
      <c r="A12" s="30">
        <v>858</v>
      </c>
      <c r="B12" s="30">
        <v>864</v>
      </c>
      <c r="C12" s="31">
        <v>7.2286717062634995</v>
      </c>
      <c r="D12" s="31">
        <v>3.7864470842332616</v>
      </c>
      <c r="E12" s="33">
        <f t="shared" si="0"/>
        <v>3.6143358531317498</v>
      </c>
      <c r="F12" s="33">
        <f t="shared" si="1"/>
        <v>1.8932235421166308</v>
      </c>
      <c r="G12" s="33">
        <f t="shared" si="2"/>
        <v>3.6143358531317498</v>
      </c>
      <c r="H12" s="33">
        <f t="shared" si="3"/>
        <v>1.8932235421166308</v>
      </c>
      <c r="I12" s="31">
        <v>0</v>
      </c>
      <c r="J12" s="31">
        <v>0</v>
      </c>
      <c r="K12" s="27">
        <f t="shared" si="4"/>
        <v>0</v>
      </c>
      <c r="L12" s="27">
        <f t="shared" si="5"/>
        <v>0</v>
      </c>
      <c r="M12" s="27">
        <f t="shared" si="6"/>
        <v>0</v>
      </c>
      <c r="N12" s="27">
        <f t="shared" si="7"/>
        <v>0</v>
      </c>
      <c r="O12" s="31">
        <v>0</v>
      </c>
      <c r="P12" s="31">
        <v>0</v>
      </c>
      <c r="Q12" s="26">
        <f t="shared" si="8"/>
        <v>0</v>
      </c>
      <c r="R12" s="26">
        <f t="shared" si="9"/>
        <v>0</v>
      </c>
      <c r="S12" s="26">
        <f t="shared" si="10"/>
        <v>0</v>
      </c>
      <c r="T12" s="26">
        <f t="shared" si="11"/>
        <v>0</v>
      </c>
    </row>
    <row r="13" spans="1:20" ht="15" thickBot="1" x14ac:dyDescent="0.35">
      <c r="A13" s="30">
        <v>858</v>
      </c>
      <c r="B13" s="30">
        <v>834</v>
      </c>
      <c r="C13" s="31">
        <v>45.781587473002162</v>
      </c>
      <c r="D13" s="31">
        <v>23.6366090712743</v>
      </c>
      <c r="E13" s="33">
        <f t="shared" si="0"/>
        <v>22.890793736501081</v>
      </c>
      <c r="F13" s="33">
        <f t="shared" si="1"/>
        <v>11.81830453563715</v>
      </c>
      <c r="G13" s="33">
        <f t="shared" si="2"/>
        <v>22.890793736501081</v>
      </c>
      <c r="H13" s="33">
        <f t="shared" si="3"/>
        <v>11.81830453563715</v>
      </c>
      <c r="I13" s="31">
        <v>143.99973002159828</v>
      </c>
      <c r="J13" s="31">
        <v>74.466792656587472</v>
      </c>
      <c r="K13" s="33">
        <f t="shared" si="4"/>
        <v>71.999865010799141</v>
      </c>
      <c r="L13" s="33">
        <f t="shared" si="5"/>
        <v>37.233396328293736</v>
      </c>
      <c r="M13" s="33">
        <f t="shared" si="6"/>
        <v>71.999865010799141</v>
      </c>
      <c r="N13" s="33">
        <f t="shared" si="7"/>
        <v>37.233396328293736</v>
      </c>
      <c r="O13" s="31">
        <v>147.0977321814255</v>
      </c>
      <c r="P13" s="31">
        <v>76.073164146868251</v>
      </c>
      <c r="Q13" s="32">
        <f t="shared" si="8"/>
        <v>73.54886609071275</v>
      </c>
      <c r="R13" s="32">
        <f t="shared" si="9"/>
        <v>38.036582073434126</v>
      </c>
      <c r="S13" s="32">
        <f t="shared" si="10"/>
        <v>73.54886609071275</v>
      </c>
      <c r="T13" s="32">
        <f t="shared" si="11"/>
        <v>19.018291036717063</v>
      </c>
    </row>
    <row r="14" spans="1:20" ht="15" thickBot="1" x14ac:dyDescent="0.35">
      <c r="A14" s="30">
        <v>834</v>
      </c>
      <c r="B14" s="30">
        <v>860</v>
      </c>
      <c r="C14" s="31">
        <v>179.68412526997841</v>
      </c>
      <c r="D14" s="31">
        <v>92.825323974082067</v>
      </c>
      <c r="E14" s="33">
        <f t="shared" si="0"/>
        <v>89.842062634989205</v>
      </c>
      <c r="F14" s="33">
        <f t="shared" si="1"/>
        <v>46.412661987041034</v>
      </c>
      <c r="G14" s="33">
        <f t="shared" si="2"/>
        <v>89.842062634989205</v>
      </c>
      <c r="H14" s="33">
        <f t="shared" si="3"/>
        <v>46.412661987041034</v>
      </c>
      <c r="I14" s="31">
        <v>239.34935205183587</v>
      </c>
      <c r="J14" s="31">
        <v>123.69060475161987</v>
      </c>
      <c r="K14" s="33">
        <f t="shared" si="4"/>
        <v>119.67467602591793</v>
      </c>
      <c r="L14" s="33">
        <f t="shared" si="5"/>
        <v>61.845302375809936</v>
      </c>
      <c r="M14" s="33">
        <f t="shared" si="6"/>
        <v>119.67467602591793</v>
      </c>
      <c r="N14" s="33">
        <f t="shared" si="7"/>
        <v>61.845302375809936</v>
      </c>
      <c r="O14" s="31">
        <v>1275.3442224622031</v>
      </c>
      <c r="P14" s="31">
        <v>659.30075593952483</v>
      </c>
      <c r="Q14" s="32">
        <f t="shared" si="8"/>
        <v>637.67211123110155</v>
      </c>
      <c r="R14" s="32">
        <f t="shared" si="9"/>
        <v>329.65037796976242</v>
      </c>
      <c r="S14" s="32">
        <f t="shared" si="10"/>
        <v>637.67211123110155</v>
      </c>
      <c r="T14" s="32">
        <f t="shared" si="11"/>
        <v>164.82518898488121</v>
      </c>
    </row>
    <row r="15" spans="1:20" ht="15" thickBot="1" x14ac:dyDescent="0.35">
      <c r="A15" s="30">
        <v>860</v>
      </c>
      <c r="B15" s="30">
        <v>836</v>
      </c>
      <c r="C15" s="31">
        <v>314.04562634989202</v>
      </c>
      <c r="D15" s="31">
        <v>162.35826133909288</v>
      </c>
      <c r="E15" s="33">
        <f t="shared" si="0"/>
        <v>157.02281317494601</v>
      </c>
      <c r="F15" s="33">
        <f t="shared" si="1"/>
        <v>81.179130669546439</v>
      </c>
      <c r="G15" s="33">
        <f t="shared" si="2"/>
        <v>157.02281317494601</v>
      </c>
      <c r="H15" s="33">
        <f t="shared" si="3"/>
        <v>81.179130669546439</v>
      </c>
      <c r="I15" s="31">
        <v>121.05156587473003</v>
      </c>
      <c r="J15" s="31">
        <v>62.533747300215985</v>
      </c>
      <c r="K15" s="33">
        <f t="shared" si="4"/>
        <v>60.525782937365015</v>
      </c>
      <c r="L15" s="33">
        <f t="shared" si="5"/>
        <v>31.266873650107993</v>
      </c>
      <c r="M15" s="33">
        <f t="shared" si="6"/>
        <v>60.525782937365015</v>
      </c>
      <c r="N15" s="33">
        <f t="shared" si="7"/>
        <v>31.266873650107993</v>
      </c>
      <c r="O15" s="31">
        <v>482.48515118790493</v>
      </c>
      <c r="P15" s="31">
        <v>249.44654427645787</v>
      </c>
      <c r="Q15" s="32">
        <f t="shared" si="8"/>
        <v>241.24257559395247</v>
      </c>
      <c r="R15" s="32">
        <f t="shared" si="9"/>
        <v>124.72327213822894</v>
      </c>
      <c r="S15" s="32">
        <f t="shared" si="10"/>
        <v>241.24257559395247</v>
      </c>
      <c r="T15" s="32">
        <f t="shared" si="11"/>
        <v>62.361636069114468</v>
      </c>
    </row>
    <row r="16" spans="1:20" ht="15" thickBot="1" x14ac:dyDescent="0.35">
      <c r="A16" s="30">
        <v>836</v>
      </c>
      <c r="B16" s="30">
        <v>840</v>
      </c>
      <c r="C16" s="31">
        <v>200.68169546436283</v>
      </c>
      <c r="D16" s="31">
        <v>103.72570194384448</v>
      </c>
      <c r="E16" s="33">
        <f t="shared" si="0"/>
        <v>100.34084773218142</v>
      </c>
      <c r="F16" s="33">
        <f t="shared" si="1"/>
        <v>51.862850971922242</v>
      </c>
      <c r="G16" s="33">
        <f t="shared" si="2"/>
        <v>100.34084773218142</v>
      </c>
      <c r="H16" s="33">
        <f t="shared" si="3"/>
        <v>51.862850971922242</v>
      </c>
      <c r="I16" s="31">
        <v>250.24973002159825</v>
      </c>
      <c r="J16" s="31">
        <v>129.31290496760258</v>
      </c>
      <c r="K16" s="33">
        <f t="shared" si="4"/>
        <v>125.12486501079913</v>
      </c>
      <c r="L16" s="33">
        <f t="shared" si="5"/>
        <v>64.656452483801289</v>
      </c>
      <c r="M16" s="33">
        <f t="shared" si="6"/>
        <v>125.12486501079913</v>
      </c>
      <c r="N16" s="33">
        <f t="shared" si="7"/>
        <v>64.656452483801289</v>
      </c>
      <c r="O16" s="31">
        <v>0</v>
      </c>
      <c r="P16" s="31">
        <v>0</v>
      </c>
      <c r="Q16" s="26">
        <f t="shared" si="8"/>
        <v>0</v>
      </c>
      <c r="R16" s="26">
        <f t="shared" si="9"/>
        <v>0</v>
      </c>
      <c r="S16" s="26">
        <f t="shared" si="10"/>
        <v>0</v>
      </c>
      <c r="T16" s="26">
        <f t="shared" si="11"/>
        <v>0</v>
      </c>
    </row>
    <row r="17" spans="1:20" ht="15" thickBot="1" x14ac:dyDescent="0.35">
      <c r="A17" s="30">
        <v>862</v>
      </c>
      <c r="B17" s="30">
        <v>838</v>
      </c>
      <c r="C17" s="31">
        <v>316.79940604751619</v>
      </c>
      <c r="D17" s="31">
        <v>163.73515118790496</v>
      </c>
      <c r="E17" s="33">
        <f t="shared" si="0"/>
        <v>158.39970302375809</v>
      </c>
      <c r="F17" s="33">
        <f t="shared" si="1"/>
        <v>81.867575593952481</v>
      </c>
      <c r="G17" s="33">
        <f t="shared" si="2"/>
        <v>158.39970302375809</v>
      </c>
      <c r="H17" s="33">
        <f t="shared" si="3"/>
        <v>81.867575593952481</v>
      </c>
      <c r="I17" s="31">
        <v>0</v>
      </c>
      <c r="J17" s="31">
        <v>0</v>
      </c>
      <c r="K17" s="27">
        <f t="shared" si="4"/>
        <v>0</v>
      </c>
      <c r="L17" s="27">
        <f t="shared" si="5"/>
        <v>0</v>
      </c>
      <c r="M17" s="27">
        <f t="shared" si="6"/>
        <v>0</v>
      </c>
      <c r="N17" s="27">
        <f t="shared" si="7"/>
        <v>0</v>
      </c>
      <c r="O17" s="31">
        <v>0</v>
      </c>
      <c r="P17" s="31">
        <v>0</v>
      </c>
      <c r="Q17" s="26">
        <f t="shared" si="8"/>
        <v>0</v>
      </c>
      <c r="R17" s="26">
        <f t="shared" si="9"/>
        <v>0</v>
      </c>
      <c r="S17" s="26">
        <f t="shared" si="10"/>
        <v>0</v>
      </c>
      <c r="T17" s="26">
        <f t="shared" si="11"/>
        <v>0</v>
      </c>
    </row>
    <row r="18" spans="1:20" ht="15" thickBot="1" x14ac:dyDescent="0.35">
      <c r="A18" s="30">
        <v>842</v>
      </c>
      <c r="B18" s="30">
        <v>844</v>
      </c>
      <c r="C18" s="31">
        <v>104.64362850971922</v>
      </c>
      <c r="D18" s="31">
        <v>54.04292656587473</v>
      </c>
      <c r="E18" s="33">
        <f t="shared" si="0"/>
        <v>52.321814254859611</v>
      </c>
      <c r="F18" s="33">
        <f t="shared" si="1"/>
        <v>27.021463282937365</v>
      </c>
      <c r="G18" s="33">
        <f t="shared" si="2"/>
        <v>52.321814254859611</v>
      </c>
      <c r="H18" s="33">
        <f t="shared" si="3"/>
        <v>27.021463282937365</v>
      </c>
      <c r="I18" s="31">
        <v>0</v>
      </c>
      <c r="J18" s="31">
        <v>0</v>
      </c>
      <c r="K18" s="27">
        <f t="shared" si="4"/>
        <v>0</v>
      </c>
      <c r="L18" s="27">
        <f t="shared" si="5"/>
        <v>0</v>
      </c>
      <c r="M18" s="27">
        <f t="shared" si="6"/>
        <v>0</v>
      </c>
      <c r="N18" s="27">
        <f t="shared" si="7"/>
        <v>0</v>
      </c>
      <c r="O18" s="31">
        <v>0</v>
      </c>
      <c r="P18" s="31">
        <v>0</v>
      </c>
      <c r="Q18" s="26">
        <f t="shared" si="8"/>
        <v>0</v>
      </c>
      <c r="R18" s="26">
        <f t="shared" si="9"/>
        <v>0</v>
      </c>
      <c r="S18" s="26">
        <f t="shared" si="10"/>
        <v>0</v>
      </c>
      <c r="T18" s="26">
        <f t="shared" si="11"/>
        <v>0</v>
      </c>
    </row>
    <row r="19" spans="1:20" ht="15" thickBot="1" x14ac:dyDescent="0.35">
      <c r="A19" s="30">
        <v>844</v>
      </c>
      <c r="B19" s="30">
        <v>846</v>
      </c>
      <c r="C19" s="31">
        <v>0</v>
      </c>
      <c r="D19" s="31">
        <v>0</v>
      </c>
      <c r="E19" s="27">
        <f t="shared" si="0"/>
        <v>0</v>
      </c>
      <c r="F19" s="27">
        <f t="shared" si="1"/>
        <v>0</v>
      </c>
      <c r="G19" s="27">
        <f t="shared" si="2"/>
        <v>0</v>
      </c>
      <c r="H19" s="27">
        <f t="shared" si="3"/>
        <v>0</v>
      </c>
      <c r="I19" s="31">
        <v>282.14767818574512</v>
      </c>
      <c r="J19" s="31">
        <v>145.83558315334776</v>
      </c>
      <c r="K19" s="33">
        <f t="shared" si="4"/>
        <v>141.07383909287256</v>
      </c>
      <c r="L19" s="33">
        <f t="shared" si="5"/>
        <v>72.917791576673878</v>
      </c>
      <c r="M19" s="33">
        <f t="shared" si="6"/>
        <v>141.07383909287256</v>
      </c>
      <c r="N19" s="33">
        <f t="shared" si="7"/>
        <v>72.917791576673878</v>
      </c>
      <c r="O19" s="31">
        <v>255.0688444924406</v>
      </c>
      <c r="P19" s="31">
        <v>131.83720302375809</v>
      </c>
      <c r="Q19" s="32">
        <f t="shared" si="8"/>
        <v>127.5344222462203</v>
      </c>
      <c r="R19" s="32">
        <f t="shared" si="9"/>
        <v>65.918601511879046</v>
      </c>
      <c r="S19" s="32">
        <f t="shared" si="10"/>
        <v>127.5344222462203</v>
      </c>
      <c r="T19" s="32">
        <f t="shared" si="11"/>
        <v>32.959300755939523</v>
      </c>
    </row>
    <row r="20" spans="1:20" ht="15" thickBot="1" x14ac:dyDescent="0.35">
      <c r="A20" s="30">
        <v>846</v>
      </c>
      <c r="B20" s="30">
        <v>848</v>
      </c>
      <c r="C20" s="31">
        <v>0</v>
      </c>
      <c r="D20" s="31">
        <v>0</v>
      </c>
      <c r="E20" s="27">
        <f t="shared" si="0"/>
        <v>0</v>
      </c>
      <c r="F20" s="27">
        <f t="shared" si="1"/>
        <v>0</v>
      </c>
      <c r="G20" s="27">
        <f t="shared" si="2"/>
        <v>0</v>
      </c>
      <c r="H20" s="27">
        <f t="shared" si="3"/>
        <v>0</v>
      </c>
      <c r="I20" s="31">
        <v>259.54373650107993</v>
      </c>
      <c r="J20" s="31">
        <v>134.24676025917927</v>
      </c>
      <c r="K20" s="33">
        <f t="shared" si="4"/>
        <v>129.77186825053997</v>
      </c>
      <c r="L20" s="33">
        <f t="shared" si="5"/>
        <v>67.123380129589634</v>
      </c>
      <c r="M20" s="33">
        <f t="shared" si="6"/>
        <v>129.77186825053997</v>
      </c>
      <c r="N20" s="33">
        <f t="shared" si="7"/>
        <v>67.123380129589634</v>
      </c>
      <c r="O20" s="31">
        <v>0</v>
      </c>
      <c r="P20" s="31">
        <v>0</v>
      </c>
      <c r="Q20" s="19">
        <f t="shared" si="8"/>
        <v>0</v>
      </c>
      <c r="R20" s="19">
        <f t="shared" si="9"/>
        <v>0</v>
      </c>
      <c r="S20" s="19">
        <f t="shared" si="10"/>
        <v>0</v>
      </c>
      <c r="T20" s="19">
        <f t="shared" si="11"/>
        <v>0</v>
      </c>
    </row>
    <row r="21" spans="1:20" ht="15" thickBot="1" x14ac:dyDescent="0.35">
      <c r="B21" s="23" t="s">
        <v>92</v>
      </c>
      <c r="C21" s="22">
        <v>3260.4751619870412</v>
      </c>
      <c r="D21" s="22">
        <v>1685.4279157667384</v>
      </c>
      <c r="E21" s="22"/>
      <c r="F21" s="22"/>
      <c r="G21" s="22"/>
      <c r="H21" s="22"/>
      <c r="I21" s="22">
        <v>2377.3150647948164</v>
      </c>
      <c r="J21" s="22">
        <v>1228.988930885529</v>
      </c>
      <c r="K21" s="22"/>
      <c r="L21" s="22"/>
      <c r="M21" s="22"/>
      <c r="N21" s="22"/>
      <c r="O21" s="22">
        <v>2552.4095572354213</v>
      </c>
      <c r="P21" s="22">
        <v>1319.6341792656588</v>
      </c>
      <c r="Q21" s="22"/>
      <c r="R21" s="2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1AD7-7709-4367-961D-814EAA339E5F}">
  <dimension ref="A1:F34"/>
  <sheetViews>
    <sheetView tabSelected="1" topLeftCell="A19" workbookViewId="0">
      <selection activeCell="J48" sqref="J48"/>
    </sheetView>
  </sheetViews>
  <sheetFormatPr defaultRowHeight="14.4" x14ac:dyDescent="0.3"/>
  <sheetData>
    <row r="1" spans="1:6" ht="42" thickBot="1" x14ac:dyDescent="0.35">
      <c r="A1" s="3" t="s">
        <v>0</v>
      </c>
      <c r="B1" s="3" t="s">
        <v>2</v>
      </c>
      <c r="C1" s="3" t="s">
        <v>105</v>
      </c>
      <c r="D1" s="3" t="s">
        <v>106</v>
      </c>
      <c r="E1" s="3" t="s">
        <v>107</v>
      </c>
      <c r="F1" s="3" t="s">
        <v>3</v>
      </c>
    </row>
    <row r="2" spans="1:6" ht="28.2" thickBot="1" x14ac:dyDescent="0.35">
      <c r="A2" s="3" t="s">
        <v>4</v>
      </c>
      <c r="B2" s="4">
        <v>3</v>
      </c>
      <c r="C2" s="4" t="s">
        <v>108</v>
      </c>
      <c r="D2" s="4" t="s">
        <v>109</v>
      </c>
      <c r="E2" s="4">
        <v>300</v>
      </c>
      <c r="F2" s="4">
        <v>0.48799999999999999</v>
      </c>
    </row>
    <row r="3" spans="1:6" ht="28.2" thickBot="1" x14ac:dyDescent="0.35">
      <c r="A3" s="3" t="s">
        <v>6</v>
      </c>
      <c r="B3" s="4">
        <v>3</v>
      </c>
      <c r="C3" s="4" t="s">
        <v>109</v>
      </c>
      <c r="D3" s="4" t="s">
        <v>110</v>
      </c>
      <c r="E3" s="4">
        <v>300</v>
      </c>
      <c r="F3" s="4">
        <v>0.32765</v>
      </c>
    </row>
    <row r="4" spans="1:6" ht="28.2" thickBot="1" x14ac:dyDescent="0.35">
      <c r="A4" s="3" t="s">
        <v>8</v>
      </c>
      <c r="B4" s="4">
        <v>3</v>
      </c>
      <c r="C4" s="4" t="s">
        <v>110</v>
      </c>
      <c r="D4" s="4" t="s">
        <v>111</v>
      </c>
      <c r="E4" s="4">
        <v>300</v>
      </c>
      <c r="F4" s="4">
        <v>6.1</v>
      </c>
    </row>
    <row r="5" spans="1:6" ht="15" thickBot="1" x14ac:dyDescent="0.35">
      <c r="A5" s="3" t="s">
        <v>10</v>
      </c>
      <c r="B5" s="4">
        <v>1</v>
      </c>
      <c r="C5" s="4">
        <v>808.2</v>
      </c>
      <c r="D5" s="4">
        <v>810.2</v>
      </c>
      <c r="E5" s="4">
        <v>303</v>
      </c>
      <c r="F5" s="4">
        <v>1.099</v>
      </c>
    </row>
    <row r="6" spans="1:6" ht="28.2" thickBot="1" x14ac:dyDescent="0.35">
      <c r="A6" s="3" t="s">
        <v>12</v>
      </c>
      <c r="B6" s="4">
        <v>3</v>
      </c>
      <c r="C6" s="4" t="s">
        <v>111</v>
      </c>
      <c r="D6" s="4" t="s">
        <v>112</v>
      </c>
      <c r="E6" s="4">
        <v>300</v>
      </c>
      <c r="F6" s="4">
        <v>7.1</v>
      </c>
    </row>
    <row r="7" spans="1:6" ht="28.2" thickBot="1" x14ac:dyDescent="0.35">
      <c r="A7" s="3" t="s">
        <v>14</v>
      </c>
      <c r="B7" s="4">
        <v>3</v>
      </c>
      <c r="C7" s="4" t="s">
        <v>112</v>
      </c>
      <c r="D7" s="4" t="s">
        <v>113</v>
      </c>
      <c r="E7" s="4">
        <v>300</v>
      </c>
      <c r="F7" s="4">
        <v>2.34</v>
      </c>
    </row>
    <row r="8" spans="1:6" ht="28.2" thickBot="1" x14ac:dyDescent="0.35">
      <c r="A8" s="3" t="s">
        <v>16</v>
      </c>
      <c r="B8" s="4">
        <v>3</v>
      </c>
      <c r="C8" s="4" t="s">
        <v>114</v>
      </c>
      <c r="D8" s="4" t="s">
        <v>115</v>
      </c>
      <c r="E8" s="4">
        <v>301</v>
      </c>
      <c r="F8" s="4">
        <v>8.0000000000000004E-4</v>
      </c>
    </row>
    <row r="9" spans="1:6" ht="15" thickBot="1" x14ac:dyDescent="0.35">
      <c r="A9" s="3" t="s">
        <v>18</v>
      </c>
      <c r="B9" s="4">
        <v>1</v>
      </c>
      <c r="C9" s="4">
        <v>816.1</v>
      </c>
      <c r="D9" s="4">
        <v>818.1</v>
      </c>
      <c r="E9" s="4">
        <v>302</v>
      </c>
      <c r="F9" s="4">
        <v>0.32385999999999998</v>
      </c>
    </row>
    <row r="10" spans="1:6" ht="28.2" thickBot="1" x14ac:dyDescent="0.35">
      <c r="A10" s="3" t="s">
        <v>20</v>
      </c>
      <c r="B10" s="4">
        <v>3</v>
      </c>
      <c r="C10" s="4" t="s">
        <v>116</v>
      </c>
      <c r="D10" s="4" t="s">
        <v>117</v>
      </c>
      <c r="E10" s="4">
        <v>301</v>
      </c>
      <c r="F10" s="4">
        <v>0.8044</v>
      </c>
    </row>
    <row r="11" spans="1:6" ht="15" thickBot="1" x14ac:dyDescent="0.35">
      <c r="A11" s="3" t="s">
        <v>22</v>
      </c>
      <c r="B11" s="4">
        <v>1</v>
      </c>
      <c r="C11" s="4">
        <v>818.1</v>
      </c>
      <c r="D11" s="4">
        <v>820.1</v>
      </c>
      <c r="E11" s="4">
        <v>302</v>
      </c>
      <c r="F11" s="4">
        <v>9.1199999999999992</v>
      </c>
    </row>
    <row r="12" spans="1:6" ht="15" thickBot="1" x14ac:dyDescent="0.35">
      <c r="A12" s="3" t="s">
        <v>24</v>
      </c>
      <c r="B12" s="4">
        <v>1</v>
      </c>
      <c r="C12" s="4">
        <v>820.1</v>
      </c>
      <c r="D12" s="4">
        <v>822.1</v>
      </c>
      <c r="E12" s="4">
        <v>302</v>
      </c>
      <c r="F12" s="4">
        <v>2.6</v>
      </c>
    </row>
    <row r="13" spans="1:6" ht="15" thickBot="1" x14ac:dyDescent="0.35">
      <c r="A13" s="3" t="s">
        <v>26</v>
      </c>
      <c r="B13" s="4">
        <v>1</v>
      </c>
      <c r="C13" s="4">
        <v>824.2</v>
      </c>
      <c r="D13" s="4">
        <v>826.2</v>
      </c>
      <c r="E13" s="4">
        <v>303</v>
      </c>
      <c r="F13" s="4">
        <v>0.57386000000000004</v>
      </c>
    </row>
    <row r="14" spans="1:6" ht="28.2" thickBot="1" x14ac:dyDescent="0.35">
      <c r="A14" s="3" t="s">
        <v>28</v>
      </c>
      <c r="B14" s="4">
        <v>3</v>
      </c>
      <c r="C14" s="4" t="s">
        <v>117</v>
      </c>
      <c r="D14" s="4" t="s">
        <v>118</v>
      </c>
      <c r="E14" s="4">
        <v>301</v>
      </c>
      <c r="F14" s="4">
        <v>6.1039999999999997E-2</v>
      </c>
    </row>
    <row r="15" spans="1:6" ht="28.2" thickBot="1" x14ac:dyDescent="0.35">
      <c r="A15" s="3" t="s">
        <v>30</v>
      </c>
      <c r="B15" s="4">
        <v>3</v>
      </c>
      <c r="C15" s="4" t="s">
        <v>118</v>
      </c>
      <c r="D15" s="4" t="s">
        <v>119</v>
      </c>
      <c r="E15" s="4">
        <v>301</v>
      </c>
      <c r="F15" s="4">
        <v>1.6104000000000001</v>
      </c>
    </row>
    <row r="16" spans="1:6" ht="28.2" thickBot="1" x14ac:dyDescent="0.35">
      <c r="A16" s="3" t="s">
        <v>32</v>
      </c>
      <c r="B16" s="4">
        <v>3</v>
      </c>
      <c r="C16" s="4" t="s">
        <v>119</v>
      </c>
      <c r="D16" s="4" t="s">
        <v>120</v>
      </c>
      <c r="E16" s="4">
        <v>301</v>
      </c>
      <c r="F16" s="4">
        <v>4.1000000000000002E-2</v>
      </c>
    </row>
    <row r="17" spans="1:6" ht="28.2" thickBot="1" x14ac:dyDescent="0.35">
      <c r="A17" s="3" t="s">
        <v>34</v>
      </c>
      <c r="B17" s="4">
        <v>3</v>
      </c>
      <c r="C17" s="4" t="s">
        <v>121</v>
      </c>
      <c r="D17" s="4" t="s">
        <v>122</v>
      </c>
      <c r="E17" s="4">
        <v>301</v>
      </c>
      <c r="F17" s="4">
        <v>0.3861</v>
      </c>
    </row>
    <row r="18" spans="1:6" ht="28.2" thickBot="1" x14ac:dyDescent="0.35">
      <c r="A18" s="3" t="s">
        <v>36</v>
      </c>
      <c r="B18" s="4">
        <v>3</v>
      </c>
      <c r="C18" s="4" t="s">
        <v>123</v>
      </c>
      <c r="D18" s="4" t="s">
        <v>124</v>
      </c>
      <c r="E18" s="4">
        <v>301</v>
      </c>
      <c r="F18" s="4">
        <v>0.15909999999999999</v>
      </c>
    </row>
    <row r="19" spans="1:6" ht="28.2" thickBot="1" x14ac:dyDescent="0.35">
      <c r="A19" s="3" t="s">
        <v>38</v>
      </c>
      <c r="B19" s="4">
        <v>3</v>
      </c>
      <c r="C19" s="4" t="s">
        <v>123</v>
      </c>
      <c r="D19" s="4" t="s">
        <v>125</v>
      </c>
      <c r="E19" s="4">
        <v>301</v>
      </c>
      <c r="F19" s="4">
        <v>2.2100000000000002E-2</v>
      </c>
    </row>
    <row r="20" spans="1:6" ht="28.2" thickBot="1" x14ac:dyDescent="0.35">
      <c r="A20" s="3" t="s">
        <v>40</v>
      </c>
      <c r="B20" s="4">
        <v>3</v>
      </c>
      <c r="C20" s="4" t="s">
        <v>126</v>
      </c>
      <c r="D20" s="4" t="s">
        <v>127</v>
      </c>
      <c r="E20" s="4">
        <v>301</v>
      </c>
      <c r="F20" s="4">
        <v>6.7799999999999999E-2</v>
      </c>
    </row>
    <row r="21" spans="1:6" ht="28.2" thickBot="1" x14ac:dyDescent="0.35">
      <c r="A21" s="3" t="s">
        <v>42</v>
      </c>
      <c r="B21" s="4">
        <v>3</v>
      </c>
      <c r="C21" s="4" t="s">
        <v>126</v>
      </c>
      <c r="D21" s="4" t="s">
        <v>128</v>
      </c>
      <c r="E21" s="4">
        <v>301</v>
      </c>
      <c r="F21" s="4">
        <v>5.3030000000000001E-2</v>
      </c>
    </row>
    <row r="22" spans="1:6" ht="28.2" thickBot="1" x14ac:dyDescent="0.35">
      <c r="A22" s="3" t="s">
        <v>44</v>
      </c>
      <c r="B22" s="4">
        <v>3</v>
      </c>
      <c r="C22" s="4" t="s">
        <v>125</v>
      </c>
      <c r="D22" s="4" t="s">
        <v>129</v>
      </c>
      <c r="E22" s="4">
        <v>301</v>
      </c>
      <c r="F22" s="4">
        <v>0.10639999999999999</v>
      </c>
    </row>
    <row r="23" spans="1:6" ht="28.2" thickBot="1" x14ac:dyDescent="0.35">
      <c r="A23" s="3" t="s">
        <v>46</v>
      </c>
      <c r="B23" s="4">
        <v>3</v>
      </c>
      <c r="C23" s="4" t="s">
        <v>129</v>
      </c>
      <c r="D23" s="4" t="s">
        <v>130</v>
      </c>
      <c r="E23" s="4">
        <v>301</v>
      </c>
      <c r="F23" s="4">
        <v>0.2868</v>
      </c>
    </row>
    <row r="24" spans="1:6" ht="28.2" thickBot="1" x14ac:dyDescent="0.35">
      <c r="A24" s="3" t="s">
        <v>48</v>
      </c>
      <c r="B24" s="4">
        <v>3</v>
      </c>
      <c r="C24" s="4" t="s">
        <v>130</v>
      </c>
      <c r="D24" s="4" t="s">
        <v>131</v>
      </c>
      <c r="E24" s="4">
        <v>301</v>
      </c>
      <c r="F24" s="4">
        <v>4.1799999999999997E-2</v>
      </c>
    </row>
    <row r="25" spans="1:6" ht="28.2" thickBot="1" x14ac:dyDescent="0.35">
      <c r="A25" s="3" t="s">
        <v>50</v>
      </c>
      <c r="B25" s="4">
        <v>3</v>
      </c>
      <c r="C25" s="4" t="s">
        <v>115</v>
      </c>
      <c r="D25" s="4" t="s">
        <v>116</v>
      </c>
      <c r="E25" s="4">
        <v>301</v>
      </c>
      <c r="F25" s="4">
        <v>2.4400000000000002E-2</v>
      </c>
    </row>
    <row r="26" spans="1:6" ht="28.2" thickBot="1" x14ac:dyDescent="0.35">
      <c r="A26" s="3" t="s">
        <v>52</v>
      </c>
      <c r="B26" s="4">
        <v>3</v>
      </c>
      <c r="C26" s="4" t="s">
        <v>132</v>
      </c>
      <c r="D26" s="4" t="s">
        <v>121</v>
      </c>
      <c r="E26" s="4">
        <v>301</v>
      </c>
      <c r="F26" s="4">
        <v>8.0000000000000004E-4</v>
      </c>
    </row>
    <row r="27" spans="1:6" ht="15" thickBot="1" x14ac:dyDescent="0.35">
      <c r="A27" s="3" t="s">
        <v>54</v>
      </c>
      <c r="B27" s="4">
        <v>1</v>
      </c>
      <c r="C27" s="4">
        <v>854.2</v>
      </c>
      <c r="D27" s="4">
        <v>856.2</v>
      </c>
      <c r="E27" s="4">
        <v>303</v>
      </c>
      <c r="F27" s="4">
        <v>4.4185600000000003</v>
      </c>
    </row>
    <row r="28" spans="1:6" ht="28.2" thickBot="1" x14ac:dyDescent="0.35">
      <c r="A28" s="3" t="s">
        <v>56</v>
      </c>
      <c r="B28" s="4">
        <v>3</v>
      </c>
      <c r="C28" s="4" t="s">
        <v>120</v>
      </c>
      <c r="D28" s="4" t="s">
        <v>133</v>
      </c>
      <c r="E28" s="4">
        <v>301</v>
      </c>
      <c r="F28" s="4">
        <v>6.9753699999999998</v>
      </c>
    </row>
    <row r="29" spans="1:6" ht="15" thickBot="1" x14ac:dyDescent="0.35">
      <c r="A29" s="3" t="s">
        <v>58</v>
      </c>
      <c r="B29" s="4">
        <v>1</v>
      </c>
      <c r="C29" s="4">
        <v>858.1</v>
      </c>
      <c r="D29" s="4">
        <v>864.1</v>
      </c>
      <c r="E29" s="4">
        <v>303</v>
      </c>
      <c r="F29" s="4">
        <v>0.30681000000000003</v>
      </c>
    </row>
    <row r="30" spans="1:6" ht="28.2" thickBot="1" x14ac:dyDescent="0.35">
      <c r="A30" s="3" t="s">
        <v>60</v>
      </c>
      <c r="B30" s="4">
        <v>3</v>
      </c>
      <c r="C30" s="4" t="s">
        <v>122</v>
      </c>
      <c r="D30" s="4" t="s">
        <v>123</v>
      </c>
      <c r="E30" s="4">
        <v>301</v>
      </c>
      <c r="F30" s="4">
        <v>0.45929999999999999</v>
      </c>
    </row>
    <row r="31" spans="1:6" ht="28.2" thickBot="1" x14ac:dyDescent="0.35">
      <c r="A31" s="3" t="s">
        <v>62</v>
      </c>
      <c r="B31" s="4">
        <v>3</v>
      </c>
      <c r="C31" s="4" t="s">
        <v>124</v>
      </c>
      <c r="D31" s="4" t="s">
        <v>126</v>
      </c>
      <c r="E31" s="4">
        <v>301</v>
      </c>
      <c r="F31" s="4">
        <v>0.21110000000000001</v>
      </c>
    </row>
    <row r="32" spans="1:6" ht="15" thickBot="1" x14ac:dyDescent="0.35">
      <c r="A32" s="3" t="s">
        <v>64</v>
      </c>
      <c r="B32" s="4">
        <v>1</v>
      </c>
      <c r="C32" s="4">
        <v>862.2</v>
      </c>
      <c r="D32" s="4">
        <v>838.2</v>
      </c>
      <c r="E32" s="4">
        <v>304</v>
      </c>
      <c r="F32" s="4">
        <v>0.92044999999999999</v>
      </c>
    </row>
    <row r="33" spans="1:6" ht="28.2" thickBot="1" x14ac:dyDescent="0.35">
      <c r="A33" s="3" t="s">
        <v>66</v>
      </c>
      <c r="B33" s="4">
        <v>3</v>
      </c>
      <c r="C33" s="4" t="s">
        <v>134</v>
      </c>
      <c r="D33" s="4" t="s">
        <v>135</v>
      </c>
      <c r="E33" s="4">
        <v>300</v>
      </c>
      <c r="F33" s="4">
        <v>2</v>
      </c>
    </row>
    <row r="34" spans="1:6" x14ac:dyDescent="0.3">
      <c r="F34">
        <f>SUM(F2:F33)</f>
        <v>49.02993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21D3-0D97-4839-A3E8-353CB3A10B66}">
  <dimension ref="A1:H9"/>
  <sheetViews>
    <sheetView workbookViewId="0">
      <selection sqref="A1:H9"/>
    </sheetView>
  </sheetViews>
  <sheetFormatPr defaultRowHeight="14.4" x14ac:dyDescent="0.3"/>
  <sheetData>
    <row r="1" spans="1:8" ht="42" thickBot="1" x14ac:dyDescent="0.35">
      <c r="A1" s="3" t="s">
        <v>136</v>
      </c>
      <c r="B1" s="3" t="s">
        <v>137</v>
      </c>
      <c r="C1" s="3" t="s">
        <v>2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</row>
    <row r="2" spans="1:8" ht="15" thickBot="1" x14ac:dyDescent="0.35">
      <c r="A2" s="3" t="s">
        <v>143</v>
      </c>
      <c r="B2" s="4">
        <v>860</v>
      </c>
      <c r="C2" s="4">
        <v>3</v>
      </c>
      <c r="D2" s="4" t="s">
        <v>144</v>
      </c>
      <c r="E2" s="4">
        <v>1</v>
      </c>
      <c r="F2" s="4">
        <v>24.9</v>
      </c>
      <c r="G2" s="4">
        <v>685</v>
      </c>
      <c r="H2" s="4">
        <v>549</v>
      </c>
    </row>
    <row r="3" spans="1:8" ht="15" thickBot="1" x14ac:dyDescent="0.35">
      <c r="A3" s="3" t="s">
        <v>145</v>
      </c>
      <c r="B3" s="4">
        <v>840</v>
      </c>
      <c r="C3" s="4">
        <v>3</v>
      </c>
      <c r="D3" s="4" t="s">
        <v>144</v>
      </c>
      <c r="E3" s="4">
        <v>5</v>
      </c>
      <c r="F3" s="4">
        <v>24.9</v>
      </c>
      <c r="G3" s="4">
        <v>305</v>
      </c>
      <c r="H3" s="4">
        <v>244</v>
      </c>
    </row>
    <row r="4" spans="1:8" ht="15" thickBot="1" x14ac:dyDescent="0.35">
      <c r="A4" s="3" t="s">
        <v>146</v>
      </c>
      <c r="B4" s="4">
        <v>844</v>
      </c>
      <c r="C4" s="4">
        <v>3</v>
      </c>
      <c r="D4" s="4" t="s">
        <v>144</v>
      </c>
      <c r="E4" s="4">
        <v>2</v>
      </c>
      <c r="F4" s="4">
        <v>24.9</v>
      </c>
      <c r="G4" s="4">
        <v>4593</v>
      </c>
      <c r="H4" s="4">
        <v>3677</v>
      </c>
    </row>
    <row r="5" spans="1:8" ht="15" thickBot="1" x14ac:dyDescent="0.35">
      <c r="A5" s="3" t="s">
        <v>147</v>
      </c>
      <c r="B5" s="4">
        <v>848</v>
      </c>
      <c r="C5" s="4">
        <v>3</v>
      </c>
      <c r="D5" s="4" t="s">
        <v>148</v>
      </c>
      <c r="E5" s="4">
        <v>1</v>
      </c>
      <c r="F5" s="4">
        <v>24.9</v>
      </c>
      <c r="G5" s="4">
        <v>670</v>
      </c>
      <c r="H5" s="4">
        <v>536</v>
      </c>
    </row>
    <row r="6" spans="1:8" ht="15" thickBot="1" x14ac:dyDescent="0.35">
      <c r="A6" s="3" t="s">
        <v>149</v>
      </c>
      <c r="B6" s="4">
        <v>890</v>
      </c>
      <c r="C6" s="4">
        <v>3</v>
      </c>
      <c r="D6" s="4" t="s">
        <v>148</v>
      </c>
      <c r="E6" s="4">
        <v>5</v>
      </c>
      <c r="F6" s="4">
        <v>4.16</v>
      </c>
      <c r="G6" s="4">
        <v>929</v>
      </c>
      <c r="H6" s="4">
        <v>744</v>
      </c>
    </row>
    <row r="7" spans="1:8" ht="15" thickBot="1" x14ac:dyDescent="0.35">
      <c r="A7" s="56"/>
      <c r="B7" s="4"/>
      <c r="C7" s="4"/>
      <c r="D7" s="4"/>
      <c r="E7" s="4"/>
      <c r="F7" s="4"/>
      <c r="G7" s="4"/>
      <c r="H7" s="4"/>
    </row>
    <row r="8" spans="1:8" ht="15" thickBot="1" x14ac:dyDescent="0.35">
      <c r="A8" s="56"/>
      <c r="B8" s="4"/>
      <c r="C8" s="4"/>
      <c r="D8" s="4"/>
      <c r="E8" s="4"/>
      <c r="F8" s="4"/>
      <c r="G8" s="4"/>
      <c r="H8" s="4"/>
    </row>
    <row r="9" spans="1:8" ht="15" thickBot="1" x14ac:dyDescent="0.35">
      <c r="A9" s="56"/>
      <c r="B9" s="4"/>
      <c r="C9" s="4"/>
      <c r="D9" s="4"/>
      <c r="E9" s="4"/>
      <c r="F9" s="4"/>
      <c r="G9" s="4"/>
      <c r="H9" s="4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FCA2-2B71-422F-A7A6-6A87992A82C4}">
  <dimension ref="A1:AC61"/>
  <sheetViews>
    <sheetView topLeftCell="A52" zoomScale="70" zoomScaleNormal="70" workbookViewId="0">
      <selection activeCell="A59" sqref="A59"/>
    </sheetView>
  </sheetViews>
  <sheetFormatPr defaultRowHeight="14.4" x14ac:dyDescent="0.3"/>
  <sheetData>
    <row r="1" spans="1:29" ht="42" thickBot="1" x14ac:dyDescent="0.35">
      <c r="A1" s="3" t="s">
        <v>136</v>
      </c>
      <c r="B1" s="3" t="s">
        <v>137</v>
      </c>
      <c r="C1" s="3" t="s">
        <v>2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</row>
    <row r="2" spans="1:29" ht="28.2" thickBot="1" x14ac:dyDescent="0.35">
      <c r="A2" s="3" t="s">
        <v>150</v>
      </c>
      <c r="B2" s="4">
        <v>802.2</v>
      </c>
      <c r="C2" s="4">
        <v>1</v>
      </c>
      <c r="D2" s="4" t="s">
        <v>144</v>
      </c>
      <c r="E2" s="4">
        <v>1</v>
      </c>
      <c r="F2" s="4">
        <v>14.375999999999999</v>
      </c>
      <c r="G2" s="4">
        <v>179</v>
      </c>
      <c r="H2" s="4">
        <v>93</v>
      </c>
      <c r="J2" s="28" t="s">
        <v>68</v>
      </c>
      <c r="K2" s="28" t="s">
        <v>69</v>
      </c>
      <c r="L2" s="29" t="s">
        <v>74</v>
      </c>
      <c r="M2" s="28" t="s">
        <v>94</v>
      </c>
      <c r="N2" s="20" t="s">
        <v>101</v>
      </c>
      <c r="O2" s="20" t="s">
        <v>102</v>
      </c>
      <c r="P2" s="20" t="s">
        <v>103</v>
      </c>
      <c r="Q2" s="20" t="s">
        <v>104</v>
      </c>
      <c r="R2" s="28" t="s">
        <v>76</v>
      </c>
      <c r="S2" s="28" t="s">
        <v>95</v>
      </c>
      <c r="T2" s="20" t="s">
        <v>101</v>
      </c>
      <c r="U2" s="20" t="s">
        <v>102</v>
      </c>
      <c r="V2" s="20" t="s">
        <v>103</v>
      </c>
      <c r="W2" s="20" t="s">
        <v>104</v>
      </c>
      <c r="X2" s="28" t="s">
        <v>78</v>
      </c>
      <c r="Y2" s="28" t="s">
        <v>96</v>
      </c>
      <c r="Z2" s="20" t="s">
        <v>101</v>
      </c>
      <c r="AA2" s="20" t="s">
        <v>102</v>
      </c>
      <c r="AB2" s="20" t="s">
        <v>103</v>
      </c>
      <c r="AC2" s="20" t="s">
        <v>104</v>
      </c>
    </row>
    <row r="3" spans="1:29" ht="28.2" thickBot="1" x14ac:dyDescent="0.35">
      <c r="A3" s="3" t="s">
        <v>151</v>
      </c>
      <c r="B3" s="4">
        <v>806.2</v>
      </c>
      <c r="C3" s="4">
        <v>1</v>
      </c>
      <c r="D3" s="4" t="s">
        <v>144</v>
      </c>
      <c r="E3" s="4">
        <v>1</v>
      </c>
      <c r="F3" s="4">
        <v>14.375999999999999</v>
      </c>
      <c r="G3" s="4">
        <v>179</v>
      </c>
      <c r="H3" s="4">
        <v>93</v>
      </c>
      <c r="J3" s="30">
        <v>802</v>
      </c>
      <c r="K3" s="30">
        <v>806</v>
      </c>
      <c r="L3" s="31">
        <v>0</v>
      </c>
      <c r="M3" s="31">
        <v>0</v>
      </c>
      <c r="N3" s="27">
        <f>L3/2</f>
        <v>0</v>
      </c>
      <c r="O3" s="27">
        <f>M3/2</f>
        <v>0</v>
      </c>
      <c r="P3" s="27">
        <f>N3</f>
        <v>0</v>
      </c>
      <c r="Q3" s="27">
        <f>O3</f>
        <v>0</v>
      </c>
      <c r="R3" s="31">
        <v>358.22084233261342</v>
      </c>
      <c r="S3" s="31">
        <v>185.1916846652268</v>
      </c>
      <c r="T3" s="33">
        <f>R3/2</f>
        <v>179.11042116630671</v>
      </c>
      <c r="U3" s="33">
        <f>S3/2</f>
        <v>92.595842332613401</v>
      </c>
      <c r="V3" s="33">
        <f>T3</f>
        <v>179.11042116630671</v>
      </c>
      <c r="W3" s="33">
        <f>U3</f>
        <v>92.595842332613401</v>
      </c>
      <c r="X3" s="31">
        <v>299.12931965442766</v>
      </c>
      <c r="Y3" s="31">
        <v>154.67062634989202</v>
      </c>
      <c r="Z3" s="32">
        <f>X3/2</f>
        <v>149.56465982721383</v>
      </c>
      <c r="AA3" s="32">
        <f>Y3/2</f>
        <v>77.335313174946009</v>
      </c>
      <c r="AB3" s="32">
        <f>Z3</f>
        <v>149.56465982721383</v>
      </c>
      <c r="AC3" s="32">
        <f>AA3</f>
        <v>77.335313174946009</v>
      </c>
    </row>
    <row r="4" spans="1:29" ht="28.2" thickBot="1" x14ac:dyDescent="0.35">
      <c r="A4" s="3" t="s">
        <v>152</v>
      </c>
      <c r="B4" s="4">
        <v>802.3</v>
      </c>
      <c r="C4" s="4">
        <v>1</v>
      </c>
      <c r="D4" s="4" t="s">
        <v>144</v>
      </c>
      <c r="E4" s="4">
        <v>1</v>
      </c>
      <c r="F4" s="4">
        <v>14.375999999999999</v>
      </c>
      <c r="G4" s="4">
        <v>149.6</v>
      </c>
      <c r="H4" s="4">
        <v>77.3</v>
      </c>
      <c r="J4" s="30">
        <v>808</v>
      </c>
      <c r="K4" s="30">
        <v>810</v>
      </c>
      <c r="L4" s="31">
        <v>0</v>
      </c>
      <c r="M4" s="31">
        <v>0</v>
      </c>
      <c r="N4" s="27">
        <f t="shared" ref="N4:O21" si="0">L4/2</f>
        <v>0</v>
      </c>
      <c r="O4" s="27">
        <f t="shared" si="0"/>
        <v>0</v>
      </c>
      <c r="P4" s="27">
        <f t="shared" ref="P4:Q21" si="1">N4</f>
        <v>0</v>
      </c>
      <c r="Q4" s="27">
        <f t="shared" si="1"/>
        <v>0</v>
      </c>
      <c r="R4" s="31">
        <v>182.20842332613393</v>
      </c>
      <c r="S4" s="31">
        <v>94.20221382289418</v>
      </c>
      <c r="T4" s="33">
        <f t="shared" ref="T4:U21" si="2">R4/2</f>
        <v>91.104211663066963</v>
      </c>
      <c r="U4" s="33">
        <f t="shared" si="2"/>
        <v>47.10110691144709</v>
      </c>
      <c r="V4" s="33">
        <f t="shared" ref="V4:W21" si="3">T4</f>
        <v>91.104211663066963</v>
      </c>
      <c r="W4" s="33">
        <f t="shared" si="3"/>
        <v>47.10110691144709</v>
      </c>
      <c r="X4" s="31">
        <v>0</v>
      </c>
      <c r="Y4" s="31">
        <v>0</v>
      </c>
      <c r="Z4" s="26">
        <f t="shared" ref="Z4:AA21" si="4">X4/2</f>
        <v>0</v>
      </c>
      <c r="AA4" s="26">
        <f t="shared" si="4"/>
        <v>0</v>
      </c>
      <c r="AB4" s="26">
        <f t="shared" ref="AB4:AB21" si="5">Z4</f>
        <v>0</v>
      </c>
      <c r="AC4" s="26">
        <f t="shared" ref="AC4:AC21" si="6">AA4/2</f>
        <v>0</v>
      </c>
    </row>
    <row r="5" spans="1:29" ht="28.2" thickBot="1" x14ac:dyDescent="0.35">
      <c r="A5" s="3" t="s">
        <v>153</v>
      </c>
      <c r="B5" s="4">
        <v>806.3</v>
      </c>
      <c r="C5" s="4">
        <v>1</v>
      </c>
      <c r="D5" s="4" t="s">
        <v>144</v>
      </c>
      <c r="E5" s="4">
        <v>1</v>
      </c>
      <c r="F5" s="4">
        <v>14.375999999999999</v>
      </c>
      <c r="G5" s="4">
        <v>149.6</v>
      </c>
      <c r="H5" s="57">
        <v>38.700000000000003</v>
      </c>
      <c r="J5" s="30">
        <v>818</v>
      </c>
      <c r="K5" s="30">
        <v>820</v>
      </c>
      <c r="L5" s="31">
        <v>388.97138228941685</v>
      </c>
      <c r="M5" s="31">
        <v>201.02591792656588</v>
      </c>
      <c r="N5" s="33">
        <f t="shared" si="0"/>
        <v>194.48569114470843</v>
      </c>
      <c r="O5" s="33">
        <f t="shared" si="0"/>
        <v>100.51295896328294</v>
      </c>
      <c r="P5" s="33">
        <f t="shared" si="1"/>
        <v>194.48569114470843</v>
      </c>
      <c r="Q5" s="33">
        <f t="shared" si="1"/>
        <v>100.51295896328294</v>
      </c>
      <c r="R5" s="31">
        <v>0</v>
      </c>
      <c r="S5" s="31">
        <v>0</v>
      </c>
      <c r="T5" s="27">
        <f t="shared" si="2"/>
        <v>0</v>
      </c>
      <c r="U5" s="27">
        <f t="shared" si="2"/>
        <v>0</v>
      </c>
      <c r="V5" s="27">
        <f t="shared" si="3"/>
        <v>0</v>
      </c>
      <c r="W5" s="27">
        <f t="shared" si="3"/>
        <v>0</v>
      </c>
      <c r="X5" s="31">
        <v>0</v>
      </c>
      <c r="Y5" s="31">
        <v>0</v>
      </c>
      <c r="Z5" s="26">
        <f t="shared" si="4"/>
        <v>0</v>
      </c>
      <c r="AA5" s="26">
        <f t="shared" si="4"/>
        <v>0</v>
      </c>
      <c r="AB5" s="26">
        <f t="shared" si="5"/>
        <v>0</v>
      </c>
      <c r="AC5" s="26">
        <f t="shared" si="6"/>
        <v>0</v>
      </c>
    </row>
    <row r="6" spans="1:29" ht="28.2" thickBot="1" x14ac:dyDescent="0.35">
      <c r="A6" s="3" t="s">
        <v>154</v>
      </c>
      <c r="B6" s="4">
        <v>808.2</v>
      </c>
      <c r="C6" s="4">
        <v>1</v>
      </c>
      <c r="D6" s="4" t="s">
        <v>144</v>
      </c>
      <c r="E6" s="4">
        <v>4</v>
      </c>
      <c r="F6" s="4">
        <v>14.375999999999999</v>
      </c>
      <c r="G6" s="4">
        <v>91</v>
      </c>
      <c r="H6" s="4">
        <v>47</v>
      </c>
      <c r="J6" s="30">
        <v>820</v>
      </c>
      <c r="K6" s="30">
        <v>822</v>
      </c>
      <c r="L6" s="31">
        <v>1555.0823434125271</v>
      </c>
      <c r="M6" s="31">
        <v>803.98893088552904</v>
      </c>
      <c r="N6" s="33">
        <f t="shared" si="0"/>
        <v>777.54117170626353</v>
      </c>
      <c r="O6" s="33">
        <f t="shared" si="0"/>
        <v>401.99446544276452</v>
      </c>
      <c r="P6" s="33">
        <f t="shared" si="1"/>
        <v>777.54117170626353</v>
      </c>
      <c r="Q6" s="33">
        <f t="shared" si="1"/>
        <v>401.99446544276452</v>
      </c>
      <c r="R6" s="31">
        <v>0</v>
      </c>
      <c r="S6" s="31">
        <v>0</v>
      </c>
      <c r="T6" s="27">
        <f t="shared" si="2"/>
        <v>0</v>
      </c>
      <c r="U6" s="27">
        <f t="shared" si="2"/>
        <v>0</v>
      </c>
      <c r="V6" s="27">
        <f t="shared" si="3"/>
        <v>0</v>
      </c>
      <c r="W6" s="27">
        <f t="shared" si="3"/>
        <v>0</v>
      </c>
      <c r="X6" s="31">
        <v>0</v>
      </c>
      <c r="Y6" s="31">
        <v>0</v>
      </c>
      <c r="Z6" s="26">
        <f t="shared" si="4"/>
        <v>0</v>
      </c>
      <c r="AA6" s="26">
        <f t="shared" si="4"/>
        <v>0</v>
      </c>
      <c r="AB6" s="26">
        <f t="shared" si="5"/>
        <v>0</v>
      </c>
      <c r="AC6" s="26">
        <f t="shared" si="6"/>
        <v>0</v>
      </c>
    </row>
    <row r="7" spans="1:29" ht="28.2" thickBot="1" x14ac:dyDescent="0.35">
      <c r="A7" s="3" t="s">
        <v>155</v>
      </c>
      <c r="B7" s="4">
        <v>810.2</v>
      </c>
      <c r="C7" s="4">
        <v>1</v>
      </c>
      <c r="D7" s="4" t="s">
        <v>144</v>
      </c>
      <c r="E7" s="4">
        <v>4</v>
      </c>
      <c r="F7" s="4">
        <v>14.375999999999999</v>
      </c>
      <c r="G7" s="4">
        <v>91</v>
      </c>
      <c r="H7" s="4">
        <v>47</v>
      </c>
      <c r="J7" s="30">
        <v>816</v>
      </c>
      <c r="K7" s="30">
        <v>824</v>
      </c>
      <c r="L7" s="31">
        <v>0</v>
      </c>
      <c r="M7" s="31">
        <v>0</v>
      </c>
      <c r="N7" s="27">
        <f t="shared" si="0"/>
        <v>0</v>
      </c>
      <c r="O7" s="27">
        <f t="shared" si="0"/>
        <v>0</v>
      </c>
      <c r="P7" s="27">
        <f t="shared" si="1"/>
        <v>0</v>
      </c>
      <c r="Q7" s="27">
        <f t="shared" si="1"/>
        <v>0</v>
      </c>
      <c r="R7" s="31">
        <v>4.4748920086393094</v>
      </c>
      <c r="S7" s="31">
        <v>2.2948164146868253</v>
      </c>
      <c r="T7" s="33">
        <f t="shared" si="2"/>
        <v>2.2374460043196547</v>
      </c>
      <c r="U7" s="33">
        <f t="shared" si="2"/>
        <v>1.1474082073434126</v>
      </c>
      <c r="V7" s="33">
        <f t="shared" si="3"/>
        <v>2.2374460043196547</v>
      </c>
      <c r="W7" s="33">
        <f t="shared" si="3"/>
        <v>1.1474082073434126</v>
      </c>
      <c r="X7" s="31">
        <v>0</v>
      </c>
      <c r="Y7" s="31">
        <v>0</v>
      </c>
      <c r="Z7" s="26">
        <f t="shared" si="4"/>
        <v>0</v>
      </c>
      <c r="AA7" s="26">
        <f t="shared" si="4"/>
        <v>0</v>
      </c>
      <c r="AB7" s="26">
        <f t="shared" si="5"/>
        <v>0</v>
      </c>
      <c r="AC7" s="26">
        <f t="shared" si="6"/>
        <v>0</v>
      </c>
    </row>
    <row r="8" spans="1:29" ht="28.2" thickBot="1" x14ac:dyDescent="0.35">
      <c r="A8" s="3" t="s">
        <v>156</v>
      </c>
      <c r="B8" s="4">
        <v>818.1</v>
      </c>
      <c r="C8" s="4">
        <v>1</v>
      </c>
      <c r="D8" s="4" t="s">
        <v>144</v>
      </c>
      <c r="E8" s="4">
        <v>2</v>
      </c>
      <c r="F8" s="4">
        <v>14.375999999999999</v>
      </c>
      <c r="G8" s="4">
        <v>194</v>
      </c>
      <c r="H8" s="4">
        <v>101</v>
      </c>
      <c r="J8" s="30">
        <v>824</v>
      </c>
      <c r="K8" s="30">
        <v>826</v>
      </c>
      <c r="L8" s="31">
        <v>0</v>
      </c>
      <c r="M8" s="31">
        <v>0</v>
      </c>
      <c r="N8" s="27">
        <f t="shared" si="0"/>
        <v>0</v>
      </c>
      <c r="O8" s="27">
        <f t="shared" si="0"/>
        <v>0</v>
      </c>
      <c r="P8" s="27">
        <f t="shared" si="1"/>
        <v>0</v>
      </c>
      <c r="Q8" s="27">
        <f t="shared" si="1"/>
        <v>0</v>
      </c>
      <c r="R8" s="31">
        <v>481.10826133909291</v>
      </c>
      <c r="S8" s="31">
        <v>248.75809935205183</v>
      </c>
      <c r="T8" s="33">
        <f t="shared" si="2"/>
        <v>240.55413066954645</v>
      </c>
      <c r="U8" s="33">
        <f t="shared" si="2"/>
        <v>124.37904967602591</v>
      </c>
      <c r="V8" s="33">
        <f t="shared" si="3"/>
        <v>240.55413066954645</v>
      </c>
      <c r="W8" s="33">
        <f t="shared" si="3"/>
        <v>124.37904967602591</v>
      </c>
      <c r="X8" s="31">
        <v>0</v>
      </c>
      <c r="Y8" s="31">
        <v>0</v>
      </c>
      <c r="Z8" s="26">
        <f t="shared" si="4"/>
        <v>0</v>
      </c>
      <c r="AA8" s="26">
        <f t="shared" si="4"/>
        <v>0</v>
      </c>
      <c r="AB8" s="26">
        <f t="shared" si="5"/>
        <v>0</v>
      </c>
      <c r="AC8" s="26">
        <f t="shared" si="6"/>
        <v>0</v>
      </c>
    </row>
    <row r="9" spans="1:29" ht="28.2" thickBot="1" x14ac:dyDescent="0.35">
      <c r="A9" s="3" t="s">
        <v>157</v>
      </c>
      <c r="B9" s="4">
        <v>820.1</v>
      </c>
      <c r="C9" s="4">
        <v>1</v>
      </c>
      <c r="D9" s="4" t="s">
        <v>144</v>
      </c>
      <c r="E9" s="4">
        <v>2</v>
      </c>
      <c r="F9" s="4">
        <v>14.375999999999999</v>
      </c>
      <c r="G9" s="4">
        <v>194</v>
      </c>
      <c r="H9" s="4">
        <v>101</v>
      </c>
      <c r="J9" s="30">
        <v>824</v>
      </c>
      <c r="K9" s="30">
        <v>828</v>
      </c>
      <c r="L9" s="31">
        <v>0</v>
      </c>
      <c r="M9" s="31">
        <v>0</v>
      </c>
      <c r="N9" s="27">
        <f t="shared" si="0"/>
        <v>0</v>
      </c>
      <c r="O9" s="27">
        <f t="shared" si="0"/>
        <v>0</v>
      </c>
      <c r="P9" s="27">
        <f t="shared" si="1"/>
        <v>0</v>
      </c>
      <c r="Q9" s="27">
        <f t="shared" si="1"/>
        <v>0</v>
      </c>
      <c r="R9" s="31">
        <v>0</v>
      </c>
      <c r="S9" s="31">
        <v>0</v>
      </c>
      <c r="T9" s="27">
        <f t="shared" si="2"/>
        <v>0</v>
      </c>
      <c r="U9" s="27">
        <f t="shared" si="2"/>
        <v>0</v>
      </c>
      <c r="V9" s="27">
        <f t="shared" si="3"/>
        <v>0</v>
      </c>
      <c r="W9" s="27">
        <f t="shared" si="3"/>
        <v>0</v>
      </c>
      <c r="X9" s="31">
        <v>31.897948164146868</v>
      </c>
      <c r="Y9" s="31">
        <v>16.522678185745139</v>
      </c>
      <c r="Z9" s="32">
        <f t="shared" si="4"/>
        <v>15.948974082073434</v>
      </c>
      <c r="AA9" s="32">
        <f t="shared" si="4"/>
        <v>8.2613390928725696</v>
      </c>
      <c r="AB9" s="32">
        <f t="shared" si="5"/>
        <v>15.948974082073434</v>
      </c>
      <c r="AC9" s="32">
        <f>AA9</f>
        <v>8.2613390928725696</v>
      </c>
    </row>
    <row r="10" spans="1:29" ht="28.2" thickBot="1" x14ac:dyDescent="0.35">
      <c r="A10" s="3" t="s">
        <v>158</v>
      </c>
      <c r="B10" s="4">
        <v>820.1</v>
      </c>
      <c r="C10" s="4">
        <v>1</v>
      </c>
      <c r="D10" s="4" t="s">
        <v>144</v>
      </c>
      <c r="E10" s="4">
        <v>1</v>
      </c>
      <c r="F10" s="4">
        <v>14.375999999999999</v>
      </c>
      <c r="G10" s="4">
        <v>778</v>
      </c>
      <c r="H10" s="4">
        <v>402</v>
      </c>
      <c r="J10" s="30">
        <v>828</v>
      </c>
      <c r="K10" s="30">
        <v>830</v>
      </c>
      <c r="L10" s="31">
        <v>70.909827213822894</v>
      </c>
      <c r="M10" s="31">
        <v>36.717062634989205</v>
      </c>
      <c r="N10" s="33">
        <f t="shared" si="0"/>
        <v>35.454913606911447</v>
      </c>
      <c r="O10" s="33">
        <f t="shared" si="0"/>
        <v>18.358531317494602</v>
      </c>
      <c r="P10" s="33">
        <f t="shared" si="1"/>
        <v>35.454913606911447</v>
      </c>
      <c r="Q10" s="33">
        <f t="shared" si="1"/>
        <v>18.358531317494602</v>
      </c>
      <c r="R10" s="31">
        <v>0</v>
      </c>
      <c r="S10" s="31">
        <v>0</v>
      </c>
      <c r="T10" s="27">
        <f t="shared" si="2"/>
        <v>0</v>
      </c>
      <c r="U10" s="27">
        <f t="shared" si="2"/>
        <v>0</v>
      </c>
      <c r="V10" s="27">
        <f t="shared" si="3"/>
        <v>0</v>
      </c>
      <c r="W10" s="27">
        <f t="shared" si="3"/>
        <v>0</v>
      </c>
      <c r="X10" s="31">
        <v>0</v>
      </c>
      <c r="Y10" s="31">
        <v>0</v>
      </c>
      <c r="Z10" s="26">
        <f t="shared" si="4"/>
        <v>0</v>
      </c>
      <c r="AA10" s="26">
        <f t="shared" si="4"/>
        <v>0</v>
      </c>
      <c r="AB10" s="26">
        <f t="shared" si="5"/>
        <v>0</v>
      </c>
      <c r="AC10" s="26">
        <f t="shared" si="6"/>
        <v>0</v>
      </c>
    </row>
    <row r="11" spans="1:29" ht="28.2" thickBot="1" x14ac:dyDescent="0.35">
      <c r="A11" s="3" t="s">
        <v>159</v>
      </c>
      <c r="B11" s="4">
        <v>822.1</v>
      </c>
      <c r="C11" s="4">
        <v>1</v>
      </c>
      <c r="D11" s="4" t="s">
        <v>144</v>
      </c>
      <c r="E11" s="4">
        <v>1</v>
      </c>
      <c r="F11" s="4">
        <v>14.375999999999999</v>
      </c>
      <c r="G11" s="4">
        <v>778</v>
      </c>
      <c r="H11" s="4">
        <v>402</v>
      </c>
      <c r="J11" s="30">
        <v>854</v>
      </c>
      <c r="K11" s="30">
        <v>856</v>
      </c>
      <c r="L11" s="31">
        <v>0</v>
      </c>
      <c r="M11" s="31">
        <v>0</v>
      </c>
      <c r="N11" s="27">
        <f t="shared" si="0"/>
        <v>0</v>
      </c>
      <c r="O11" s="27">
        <f t="shared" si="0"/>
        <v>0</v>
      </c>
      <c r="P11" s="27">
        <f t="shared" si="1"/>
        <v>0</v>
      </c>
      <c r="Q11" s="27">
        <f t="shared" si="1"/>
        <v>0</v>
      </c>
      <c r="R11" s="31">
        <v>42.568844492440604</v>
      </c>
      <c r="S11" s="31">
        <v>22.030237580993521</v>
      </c>
      <c r="T11" s="33">
        <f t="shared" si="2"/>
        <v>21.284422246220302</v>
      </c>
      <c r="U11" s="33">
        <f t="shared" si="2"/>
        <v>11.015118790496761</v>
      </c>
      <c r="V11" s="33">
        <f t="shared" si="3"/>
        <v>21.284422246220302</v>
      </c>
      <c r="W11" s="33">
        <f t="shared" si="3"/>
        <v>11.015118790496761</v>
      </c>
      <c r="X11" s="31">
        <v>0</v>
      </c>
      <c r="Y11" s="31">
        <v>0</v>
      </c>
      <c r="Z11" s="26">
        <f t="shared" si="4"/>
        <v>0</v>
      </c>
      <c r="AA11" s="26">
        <f t="shared" si="4"/>
        <v>0</v>
      </c>
      <c r="AB11" s="26">
        <f t="shared" si="5"/>
        <v>0</v>
      </c>
      <c r="AC11" s="26">
        <f t="shared" si="6"/>
        <v>0</v>
      </c>
    </row>
    <row r="12" spans="1:29" ht="28.2" thickBot="1" x14ac:dyDescent="0.35">
      <c r="A12" s="3" t="s">
        <v>160</v>
      </c>
      <c r="B12" s="4">
        <v>816.2</v>
      </c>
      <c r="C12" s="4">
        <v>1</v>
      </c>
      <c r="D12" s="4" t="s">
        <v>144</v>
      </c>
      <c r="E12" s="4">
        <v>5</v>
      </c>
      <c r="F12" s="4">
        <v>14.375999999999999</v>
      </c>
      <c r="G12" s="4">
        <v>2</v>
      </c>
      <c r="H12" s="4">
        <v>1</v>
      </c>
      <c r="J12" s="30">
        <v>832</v>
      </c>
      <c r="K12" s="30">
        <v>858</v>
      </c>
      <c r="L12" s="31">
        <v>76.646868250539953</v>
      </c>
      <c r="M12" s="31">
        <v>39.585583153347734</v>
      </c>
      <c r="N12" s="33">
        <f t="shared" si="0"/>
        <v>38.323434125269976</v>
      </c>
      <c r="O12" s="33">
        <f t="shared" si="0"/>
        <v>19.792791576673867</v>
      </c>
      <c r="P12" s="33">
        <f t="shared" si="1"/>
        <v>38.323434125269976</v>
      </c>
      <c r="Q12" s="33">
        <f t="shared" si="1"/>
        <v>19.792791576673867</v>
      </c>
      <c r="R12" s="31">
        <v>12.392008639308857</v>
      </c>
      <c r="S12" s="31">
        <v>6.425485961123111</v>
      </c>
      <c r="T12" s="33">
        <f t="shared" si="2"/>
        <v>6.1960043196544285</v>
      </c>
      <c r="U12" s="33">
        <f t="shared" si="2"/>
        <v>3.2127429805615555</v>
      </c>
      <c r="V12" s="33">
        <f t="shared" si="3"/>
        <v>6.1960043196544285</v>
      </c>
      <c r="W12" s="33">
        <f t="shared" si="3"/>
        <v>3.2127429805615555</v>
      </c>
      <c r="X12" s="31">
        <v>61.386339092872568</v>
      </c>
      <c r="Y12" s="31">
        <v>31.783207343412528</v>
      </c>
      <c r="Z12" s="32">
        <f t="shared" si="4"/>
        <v>30.693169546436284</v>
      </c>
      <c r="AA12" s="32">
        <f t="shared" si="4"/>
        <v>15.891603671706264</v>
      </c>
      <c r="AB12" s="32">
        <f t="shared" si="5"/>
        <v>30.693169546436284</v>
      </c>
      <c r="AC12" s="32">
        <f t="shared" si="6"/>
        <v>7.9458018358531319</v>
      </c>
    </row>
    <row r="13" spans="1:29" ht="28.2" thickBot="1" x14ac:dyDescent="0.35">
      <c r="A13" s="3" t="s">
        <v>161</v>
      </c>
      <c r="B13" s="4">
        <v>824.2</v>
      </c>
      <c r="C13" s="4">
        <v>1</v>
      </c>
      <c r="D13" s="4" t="s">
        <v>144</v>
      </c>
      <c r="E13" s="4">
        <v>5</v>
      </c>
      <c r="F13" s="4">
        <v>14.375999999999999</v>
      </c>
      <c r="G13" s="4">
        <v>2</v>
      </c>
      <c r="H13" s="4">
        <v>1</v>
      </c>
      <c r="J13" s="30">
        <v>858</v>
      </c>
      <c r="K13" s="30">
        <v>864</v>
      </c>
      <c r="L13" s="31">
        <v>7.2286717062634995</v>
      </c>
      <c r="M13" s="31">
        <v>3.7864470842332616</v>
      </c>
      <c r="N13" s="33">
        <f t="shared" si="0"/>
        <v>3.6143358531317498</v>
      </c>
      <c r="O13" s="33">
        <f t="shared" si="0"/>
        <v>1.8932235421166308</v>
      </c>
      <c r="P13" s="33">
        <f t="shared" si="1"/>
        <v>3.6143358531317498</v>
      </c>
      <c r="Q13" s="33">
        <f t="shared" si="1"/>
        <v>1.8932235421166308</v>
      </c>
      <c r="R13" s="31">
        <v>0</v>
      </c>
      <c r="S13" s="31">
        <v>0</v>
      </c>
      <c r="T13" s="27">
        <f t="shared" si="2"/>
        <v>0</v>
      </c>
      <c r="U13" s="27">
        <f t="shared" si="2"/>
        <v>0</v>
      </c>
      <c r="V13" s="27">
        <f t="shared" si="3"/>
        <v>0</v>
      </c>
      <c r="W13" s="27">
        <f t="shared" si="3"/>
        <v>0</v>
      </c>
      <c r="X13" s="31">
        <v>0</v>
      </c>
      <c r="Y13" s="31">
        <v>0</v>
      </c>
      <c r="Z13" s="26">
        <f t="shared" si="4"/>
        <v>0</v>
      </c>
      <c r="AA13" s="26">
        <f t="shared" si="4"/>
        <v>0</v>
      </c>
      <c r="AB13" s="26">
        <f t="shared" si="5"/>
        <v>0</v>
      </c>
      <c r="AC13" s="26">
        <f t="shared" si="6"/>
        <v>0</v>
      </c>
    </row>
    <row r="14" spans="1:29" ht="28.2" thickBot="1" x14ac:dyDescent="0.35">
      <c r="A14" s="3" t="s">
        <v>162</v>
      </c>
      <c r="B14" s="4">
        <v>824.2</v>
      </c>
      <c r="C14" s="4">
        <v>1</v>
      </c>
      <c r="D14" s="4" t="s">
        <v>144</v>
      </c>
      <c r="E14" s="4">
        <v>5</v>
      </c>
      <c r="F14" s="4">
        <v>14.375999999999999</v>
      </c>
      <c r="G14" s="4">
        <v>241</v>
      </c>
      <c r="H14" s="4">
        <v>124</v>
      </c>
      <c r="J14" s="30">
        <v>858</v>
      </c>
      <c r="K14" s="30">
        <v>834</v>
      </c>
      <c r="L14" s="31">
        <v>45.781587473002162</v>
      </c>
      <c r="M14" s="31">
        <v>23.6366090712743</v>
      </c>
      <c r="N14" s="33">
        <f t="shared" si="0"/>
        <v>22.890793736501081</v>
      </c>
      <c r="O14" s="33">
        <f t="shared" si="0"/>
        <v>11.81830453563715</v>
      </c>
      <c r="P14" s="33">
        <f t="shared" si="1"/>
        <v>22.890793736501081</v>
      </c>
      <c r="Q14" s="33">
        <f t="shared" si="1"/>
        <v>11.81830453563715</v>
      </c>
      <c r="R14" s="31">
        <v>143.99973002159828</v>
      </c>
      <c r="S14" s="31">
        <v>74.466792656587472</v>
      </c>
      <c r="T14" s="33">
        <f t="shared" si="2"/>
        <v>71.999865010799141</v>
      </c>
      <c r="U14" s="33">
        <f t="shared" si="2"/>
        <v>37.233396328293736</v>
      </c>
      <c r="V14" s="33">
        <f t="shared" si="3"/>
        <v>71.999865010799141</v>
      </c>
      <c r="W14" s="33">
        <f t="shared" si="3"/>
        <v>37.233396328293736</v>
      </c>
      <c r="X14" s="31">
        <v>147.0977321814255</v>
      </c>
      <c r="Y14" s="31">
        <v>76.073164146868251</v>
      </c>
      <c r="Z14" s="32">
        <f t="shared" si="4"/>
        <v>73.54886609071275</v>
      </c>
      <c r="AA14" s="32">
        <f t="shared" si="4"/>
        <v>38.036582073434126</v>
      </c>
      <c r="AB14" s="32">
        <f t="shared" si="5"/>
        <v>73.54886609071275</v>
      </c>
      <c r="AC14" s="32">
        <f t="shared" si="6"/>
        <v>19.018291036717063</v>
      </c>
    </row>
    <row r="15" spans="1:29" ht="28.2" thickBot="1" x14ac:dyDescent="0.35">
      <c r="A15" s="3" t="s">
        <v>163</v>
      </c>
      <c r="B15" s="4">
        <v>826.2</v>
      </c>
      <c r="C15" s="4">
        <v>1</v>
      </c>
      <c r="D15" s="4" t="s">
        <v>144</v>
      </c>
      <c r="E15" s="4">
        <v>5</v>
      </c>
      <c r="F15" s="4">
        <v>14.375999999999999</v>
      </c>
      <c r="G15" s="4">
        <v>241</v>
      </c>
      <c r="H15" s="4">
        <v>124</v>
      </c>
      <c r="J15" s="30">
        <v>834</v>
      </c>
      <c r="K15" s="30">
        <v>860</v>
      </c>
      <c r="L15" s="31">
        <v>179.68412526997841</v>
      </c>
      <c r="M15" s="31">
        <v>92.825323974082067</v>
      </c>
      <c r="N15" s="33">
        <f t="shared" si="0"/>
        <v>89.842062634989205</v>
      </c>
      <c r="O15" s="33">
        <f t="shared" si="0"/>
        <v>46.412661987041034</v>
      </c>
      <c r="P15" s="33">
        <f t="shared" si="1"/>
        <v>89.842062634989205</v>
      </c>
      <c r="Q15" s="33">
        <f t="shared" si="1"/>
        <v>46.412661987041034</v>
      </c>
      <c r="R15" s="31">
        <v>239.34935205183587</v>
      </c>
      <c r="S15" s="31">
        <v>123.69060475161987</v>
      </c>
      <c r="T15" s="33">
        <f t="shared" si="2"/>
        <v>119.67467602591793</v>
      </c>
      <c r="U15" s="33">
        <f t="shared" si="2"/>
        <v>61.845302375809936</v>
      </c>
      <c r="V15" s="33">
        <f t="shared" si="3"/>
        <v>119.67467602591793</v>
      </c>
      <c r="W15" s="33">
        <f t="shared" si="3"/>
        <v>61.845302375809936</v>
      </c>
      <c r="X15" s="31">
        <v>1275.3442224622031</v>
      </c>
      <c r="Y15" s="31">
        <v>659.30075593952483</v>
      </c>
      <c r="Z15" s="32">
        <f t="shared" si="4"/>
        <v>637.67211123110155</v>
      </c>
      <c r="AA15" s="32">
        <f t="shared" si="4"/>
        <v>329.65037796976242</v>
      </c>
      <c r="AB15" s="32">
        <f t="shared" si="5"/>
        <v>637.67211123110155</v>
      </c>
      <c r="AC15" s="32">
        <f>AA15</f>
        <v>329.65037796976242</v>
      </c>
    </row>
    <row r="16" spans="1:29" ht="28.2" thickBot="1" x14ac:dyDescent="0.35">
      <c r="A16" s="3" t="s">
        <v>164</v>
      </c>
      <c r="B16" s="4">
        <v>824.3</v>
      </c>
      <c r="C16" s="4">
        <v>1</v>
      </c>
      <c r="D16" s="4" t="s">
        <v>144</v>
      </c>
      <c r="E16" s="4">
        <v>1</v>
      </c>
      <c r="F16" s="4">
        <v>14.375999999999999</v>
      </c>
      <c r="G16" s="4">
        <v>15.9</v>
      </c>
      <c r="H16" s="4">
        <v>8.3000000000000007</v>
      </c>
      <c r="J16" s="30">
        <v>860</v>
      </c>
      <c r="K16" s="30">
        <v>836</v>
      </c>
      <c r="L16" s="31">
        <v>314.04562634989202</v>
      </c>
      <c r="M16" s="31">
        <v>162.35826133909288</v>
      </c>
      <c r="N16" s="33">
        <f t="shared" si="0"/>
        <v>157.02281317494601</v>
      </c>
      <c r="O16" s="33">
        <f t="shared" si="0"/>
        <v>81.179130669546439</v>
      </c>
      <c r="P16" s="33">
        <f t="shared" si="1"/>
        <v>157.02281317494601</v>
      </c>
      <c r="Q16" s="33">
        <f t="shared" si="1"/>
        <v>81.179130669546439</v>
      </c>
      <c r="R16" s="31">
        <v>121.05156587473003</v>
      </c>
      <c r="S16" s="31">
        <v>62.533747300215985</v>
      </c>
      <c r="T16" s="33">
        <f t="shared" si="2"/>
        <v>60.525782937365015</v>
      </c>
      <c r="U16" s="33">
        <f t="shared" si="2"/>
        <v>31.266873650107993</v>
      </c>
      <c r="V16" s="33">
        <f t="shared" si="3"/>
        <v>60.525782937365015</v>
      </c>
      <c r="W16" s="33">
        <f t="shared" si="3"/>
        <v>31.266873650107993</v>
      </c>
      <c r="X16" s="31">
        <v>482.48515118790493</v>
      </c>
      <c r="Y16" s="31">
        <v>249.44654427645787</v>
      </c>
      <c r="Z16" s="32">
        <f t="shared" si="4"/>
        <v>241.24257559395247</v>
      </c>
      <c r="AA16" s="32">
        <f t="shared" si="4"/>
        <v>124.72327213822894</v>
      </c>
      <c r="AB16" s="32">
        <f t="shared" si="5"/>
        <v>241.24257559395247</v>
      </c>
      <c r="AC16" s="32">
        <f t="shared" si="6"/>
        <v>62.361636069114468</v>
      </c>
    </row>
    <row r="17" spans="1:29" ht="28.2" thickBot="1" x14ac:dyDescent="0.35">
      <c r="A17" s="3" t="s">
        <v>165</v>
      </c>
      <c r="B17" s="4">
        <v>828.3</v>
      </c>
      <c r="C17" s="4">
        <v>1</v>
      </c>
      <c r="D17" s="4" t="s">
        <v>144</v>
      </c>
      <c r="E17" s="4">
        <v>1</v>
      </c>
      <c r="F17" s="4">
        <v>14.375999999999999</v>
      </c>
      <c r="G17" s="4">
        <v>15.9</v>
      </c>
      <c r="H17" s="57">
        <v>4.0999999999999996</v>
      </c>
      <c r="J17" s="30">
        <v>836</v>
      </c>
      <c r="K17" s="30">
        <v>840</v>
      </c>
      <c r="L17" s="31">
        <v>200.68169546436283</v>
      </c>
      <c r="M17" s="31">
        <v>103.72570194384448</v>
      </c>
      <c r="N17" s="33">
        <f t="shared" si="0"/>
        <v>100.34084773218142</v>
      </c>
      <c r="O17" s="33">
        <f t="shared" si="0"/>
        <v>51.862850971922242</v>
      </c>
      <c r="P17" s="33">
        <f t="shared" si="1"/>
        <v>100.34084773218142</v>
      </c>
      <c r="Q17" s="33">
        <f t="shared" si="1"/>
        <v>51.862850971922242</v>
      </c>
      <c r="R17" s="31">
        <v>250.24973002159825</v>
      </c>
      <c r="S17" s="31">
        <v>129.31290496760258</v>
      </c>
      <c r="T17" s="33">
        <f t="shared" si="2"/>
        <v>125.12486501079913</v>
      </c>
      <c r="U17" s="33">
        <f t="shared" si="2"/>
        <v>64.656452483801289</v>
      </c>
      <c r="V17" s="33">
        <f t="shared" si="3"/>
        <v>125.12486501079913</v>
      </c>
      <c r="W17" s="33">
        <f t="shared" si="3"/>
        <v>64.656452483801289</v>
      </c>
      <c r="X17" s="31">
        <v>0</v>
      </c>
      <c r="Y17" s="31">
        <v>0</v>
      </c>
      <c r="Z17" s="26">
        <f t="shared" si="4"/>
        <v>0</v>
      </c>
      <c r="AA17" s="26">
        <f t="shared" si="4"/>
        <v>0</v>
      </c>
      <c r="AB17" s="26">
        <f t="shared" si="5"/>
        <v>0</v>
      </c>
      <c r="AC17" s="26">
        <f t="shared" si="6"/>
        <v>0</v>
      </c>
    </row>
    <row r="18" spans="1:29" ht="28.2" thickBot="1" x14ac:dyDescent="0.35">
      <c r="A18" s="3" t="s">
        <v>166</v>
      </c>
      <c r="B18" s="4">
        <v>828.1</v>
      </c>
      <c r="C18" s="4">
        <v>1</v>
      </c>
      <c r="D18" s="4" t="s">
        <v>144</v>
      </c>
      <c r="E18" s="4">
        <v>1</v>
      </c>
      <c r="F18" s="4">
        <v>14.375999999999999</v>
      </c>
      <c r="G18" s="4">
        <v>35</v>
      </c>
      <c r="H18" s="4">
        <v>18</v>
      </c>
      <c r="J18" s="30">
        <v>862</v>
      </c>
      <c r="K18" s="30">
        <v>838</v>
      </c>
      <c r="L18" s="31">
        <v>316.79940604751619</v>
      </c>
      <c r="M18" s="31">
        <v>163.73515118790496</v>
      </c>
      <c r="N18" s="33">
        <f t="shared" si="0"/>
        <v>158.39970302375809</v>
      </c>
      <c r="O18" s="33">
        <f t="shared" si="0"/>
        <v>81.867575593952481</v>
      </c>
      <c r="P18" s="33">
        <f t="shared" si="1"/>
        <v>158.39970302375809</v>
      </c>
      <c r="Q18" s="33">
        <f t="shared" si="1"/>
        <v>81.867575593952481</v>
      </c>
      <c r="R18" s="31">
        <v>0</v>
      </c>
      <c r="S18" s="31">
        <v>0</v>
      </c>
      <c r="T18" s="27">
        <f t="shared" si="2"/>
        <v>0</v>
      </c>
      <c r="U18" s="27">
        <f t="shared" si="2"/>
        <v>0</v>
      </c>
      <c r="V18" s="27">
        <f t="shared" si="3"/>
        <v>0</v>
      </c>
      <c r="W18" s="27">
        <f t="shared" si="3"/>
        <v>0</v>
      </c>
      <c r="X18" s="31">
        <v>0</v>
      </c>
      <c r="Y18" s="31">
        <v>0</v>
      </c>
      <c r="Z18" s="26">
        <f t="shared" si="4"/>
        <v>0</v>
      </c>
      <c r="AA18" s="26">
        <f t="shared" si="4"/>
        <v>0</v>
      </c>
      <c r="AB18" s="26">
        <f t="shared" si="5"/>
        <v>0</v>
      </c>
      <c r="AC18" s="26">
        <f t="shared" si="6"/>
        <v>0</v>
      </c>
    </row>
    <row r="19" spans="1:29" ht="28.2" thickBot="1" x14ac:dyDescent="0.35">
      <c r="A19" s="3" t="s">
        <v>167</v>
      </c>
      <c r="B19" s="4">
        <v>830.1</v>
      </c>
      <c r="C19" s="4">
        <v>1</v>
      </c>
      <c r="D19" s="4" t="s">
        <v>144</v>
      </c>
      <c r="E19" s="4">
        <v>1</v>
      </c>
      <c r="F19" s="4">
        <v>14.375999999999999</v>
      </c>
      <c r="G19" s="4">
        <v>35</v>
      </c>
      <c r="H19" s="4">
        <v>18</v>
      </c>
      <c r="J19" s="30">
        <v>842</v>
      </c>
      <c r="K19" s="30">
        <v>844</v>
      </c>
      <c r="L19" s="31">
        <v>104.64362850971922</v>
      </c>
      <c r="M19" s="31">
        <v>54.04292656587473</v>
      </c>
      <c r="N19" s="33">
        <f t="shared" si="0"/>
        <v>52.321814254859611</v>
      </c>
      <c r="O19" s="33">
        <f t="shared" si="0"/>
        <v>27.021463282937365</v>
      </c>
      <c r="P19" s="33">
        <f t="shared" si="1"/>
        <v>52.321814254859611</v>
      </c>
      <c r="Q19" s="33">
        <f t="shared" si="1"/>
        <v>27.021463282937365</v>
      </c>
      <c r="R19" s="31">
        <v>0</v>
      </c>
      <c r="S19" s="31">
        <v>0</v>
      </c>
      <c r="T19" s="27">
        <f t="shared" si="2"/>
        <v>0</v>
      </c>
      <c r="U19" s="27">
        <f t="shared" si="2"/>
        <v>0</v>
      </c>
      <c r="V19" s="27">
        <f t="shared" si="3"/>
        <v>0</v>
      </c>
      <c r="W19" s="27">
        <f t="shared" si="3"/>
        <v>0</v>
      </c>
      <c r="X19" s="31">
        <v>0</v>
      </c>
      <c r="Y19" s="31">
        <v>0</v>
      </c>
      <c r="Z19" s="26">
        <f t="shared" si="4"/>
        <v>0</v>
      </c>
      <c r="AA19" s="26">
        <f t="shared" si="4"/>
        <v>0</v>
      </c>
      <c r="AB19" s="26">
        <f t="shared" si="5"/>
        <v>0</v>
      </c>
      <c r="AC19" s="26">
        <f t="shared" si="6"/>
        <v>0</v>
      </c>
    </row>
    <row r="20" spans="1:29" ht="28.2" thickBot="1" x14ac:dyDescent="0.35">
      <c r="A20" s="3" t="s">
        <v>168</v>
      </c>
      <c r="B20" s="4">
        <v>854.2</v>
      </c>
      <c r="C20" s="4">
        <v>1</v>
      </c>
      <c r="D20" s="4" t="s">
        <v>144</v>
      </c>
      <c r="E20" s="4">
        <v>1</v>
      </c>
      <c r="F20" s="4">
        <v>14.375999999999999</v>
      </c>
      <c r="G20" s="4">
        <v>21</v>
      </c>
      <c r="H20" s="4">
        <v>11</v>
      </c>
      <c r="J20" s="30">
        <v>844</v>
      </c>
      <c r="K20" s="30">
        <v>846</v>
      </c>
      <c r="L20" s="31">
        <v>0</v>
      </c>
      <c r="M20" s="31">
        <v>0</v>
      </c>
      <c r="N20" s="27">
        <f t="shared" si="0"/>
        <v>0</v>
      </c>
      <c r="O20" s="27">
        <f t="shared" si="0"/>
        <v>0</v>
      </c>
      <c r="P20" s="27">
        <f t="shared" si="1"/>
        <v>0</v>
      </c>
      <c r="Q20" s="27">
        <f t="shared" si="1"/>
        <v>0</v>
      </c>
      <c r="R20" s="31">
        <v>282.14767818574512</v>
      </c>
      <c r="S20" s="31">
        <v>145.83558315334776</v>
      </c>
      <c r="T20" s="33">
        <f t="shared" si="2"/>
        <v>141.07383909287256</v>
      </c>
      <c r="U20" s="33">
        <f t="shared" si="2"/>
        <v>72.917791576673878</v>
      </c>
      <c r="V20" s="33">
        <f t="shared" si="3"/>
        <v>141.07383909287256</v>
      </c>
      <c r="W20" s="33">
        <f t="shared" si="3"/>
        <v>72.917791576673878</v>
      </c>
      <c r="X20" s="31">
        <v>255.0688444924406</v>
      </c>
      <c r="Y20" s="31">
        <v>131.83720302375809</v>
      </c>
      <c r="Z20" s="32">
        <f t="shared" si="4"/>
        <v>127.5344222462203</v>
      </c>
      <c r="AA20" s="32">
        <f t="shared" si="4"/>
        <v>65.918601511879046</v>
      </c>
      <c r="AB20" s="32">
        <f t="shared" si="5"/>
        <v>127.5344222462203</v>
      </c>
      <c r="AC20" s="32">
        <f t="shared" si="6"/>
        <v>32.959300755939523</v>
      </c>
    </row>
    <row r="21" spans="1:29" ht="28.2" thickBot="1" x14ac:dyDescent="0.35">
      <c r="A21" s="3" t="s">
        <v>169</v>
      </c>
      <c r="B21" s="4">
        <v>856.2</v>
      </c>
      <c r="C21" s="4">
        <v>1</v>
      </c>
      <c r="D21" s="4" t="s">
        <v>144</v>
      </c>
      <c r="E21" s="4">
        <v>1</v>
      </c>
      <c r="F21" s="4">
        <v>14.375999999999999</v>
      </c>
      <c r="G21" s="4">
        <v>21</v>
      </c>
      <c r="H21" s="4">
        <v>11</v>
      </c>
      <c r="J21" s="30">
        <v>846</v>
      </c>
      <c r="K21" s="30">
        <v>848</v>
      </c>
      <c r="L21" s="31">
        <v>0</v>
      </c>
      <c r="M21" s="31">
        <v>0</v>
      </c>
      <c r="N21" s="27">
        <f t="shared" si="0"/>
        <v>0</v>
      </c>
      <c r="O21" s="27">
        <f t="shared" si="0"/>
        <v>0</v>
      </c>
      <c r="P21" s="27">
        <f t="shared" si="1"/>
        <v>0</v>
      </c>
      <c r="Q21" s="27">
        <f t="shared" si="1"/>
        <v>0</v>
      </c>
      <c r="R21" s="31">
        <v>259.54373650107993</v>
      </c>
      <c r="S21" s="31">
        <v>134.24676025917927</v>
      </c>
      <c r="T21" s="33">
        <f t="shared" si="2"/>
        <v>129.77186825053997</v>
      </c>
      <c r="U21" s="33">
        <f t="shared" si="2"/>
        <v>67.123380129589634</v>
      </c>
      <c r="V21" s="33">
        <f t="shared" si="3"/>
        <v>129.77186825053997</v>
      </c>
      <c r="W21" s="33">
        <f t="shared" si="3"/>
        <v>67.123380129589634</v>
      </c>
      <c r="X21" s="31">
        <v>0</v>
      </c>
      <c r="Y21" s="31">
        <v>0</v>
      </c>
      <c r="Z21" s="19">
        <f t="shared" si="4"/>
        <v>0</v>
      </c>
      <c r="AA21" s="19">
        <f t="shared" si="4"/>
        <v>0</v>
      </c>
      <c r="AB21" s="19">
        <f t="shared" si="5"/>
        <v>0</v>
      </c>
      <c r="AC21" s="19">
        <f t="shared" si="6"/>
        <v>0</v>
      </c>
    </row>
    <row r="22" spans="1:29" ht="28.2" thickBot="1" x14ac:dyDescent="0.35">
      <c r="A22" s="3" t="s">
        <v>170</v>
      </c>
      <c r="B22" s="4">
        <v>832.1</v>
      </c>
      <c r="C22" s="4">
        <v>1</v>
      </c>
      <c r="D22" s="4" t="s">
        <v>144</v>
      </c>
      <c r="E22" s="4">
        <v>2</v>
      </c>
      <c r="F22" s="4">
        <v>14.375999999999999</v>
      </c>
      <c r="G22" s="4">
        <v>38</v>
      </c>
      <c r="H22" s="4">
        <v>20</v>
      </c>
      <c r="K22" s="23" t="s">
        <v>92</v>
      </c>
      <c r="L22" s="22">
        <v>3260.4751619870412</v>
      </c>
      <c r="M22" s="22">
        <v>1685.4279157667384</v>
      </c>
      <c r="N22" s="22"/>
      <c r="O22" s="22"/>
      <c r="P22" s="22"/>
      <c r="Q22" s="22"/>
      <c r="R22" s="22">
        <v>2377.3150647948164</v>
      </c>
      <c r="S22" s="22">
        <v>1228.988930885529</v>
      </c>
      <c r="T22" s="22"/>
      <c r="U22" s="22"/>
      <c r="V22" s="22"/>
      <c r="W22" s="22"/>
      <c r="X22" s="22">
        <v>2552.4095572354213</v>
      </c>
      <c r="Y22" s="22">
        <v>1319.6341792656588</v>
      </c>
      <c r="Z22" s="22"/>
      <c r="AA22" s="22"/>
    </row>
    <row r="23" spans="1:29" ht="28.2" thickBot="1" x14ac:dyDescent="0.35">
      <c r="A23" s="3" t="s">
        <v>171</v>
      </c>
      <c r="B23" s="4">
        <v>858.1</v>
      </c>
      <c r="C23" s="4">
        <v>1</v>
      </c>
      <c r="D23" s="4" t="s">
        <v>144</v>
      </c>
      <c r="E23" s="4">
        <v>2</v>
      </c>
      <c r="F23" s="4">
        <v>14.375999999999999</v>
      </c>
      <c r="G23" s="4">
        <v>38</v>
      </c>
      <c r="H23" s="4">
        <v>20</v>
      </c>
    </row>
    <row r="24" spans="1:29" ht="28.2" thickBot="1" x14ac:dyDescent="0.35">
      <c r="A24" s="3" t="s">
        <v>172</v>
      </c>
      <c r="B24" s="4">
        <v>832.2</v>
      </c>
      <c r="C24" s="4">
        <v>1</v>
      </c>
      <c r="D24" s="4" t="s">
        <v>144</v>
      </c>
      <c r="E24" s="4">
        <v>2</v>
      </c>
      <c r="F24" s="4">
        <v>14.375999999999999</v>
      </c>
      <c r="G24" s="4">
        <v>6</v>
      </c>
      <c r="H24" s="4">
        <v>3</v>
      </c>
    </row>
    <row r="25" spans="1:29" ht="28.2" thickBot="1" x14ac:dyDescent="0.35">
      <c r="A25" s="3" t="s">
        <v>173</v>
      </c>
      <c r="B25" s="4">
        <v>858.2</v>
      </c>
      <c r="C25" s="4">
        <v>1</v>
      </c>
      <c r="D25" s="4" t="s">
        <v>144</v>
      </c>
      <c r="E25" s="4">
        <v>2</v>
      </c>
      <c r="F25" s="4">
        <v>14.375999999999999</v>
      </c>
      <c r="G25" s="4">
        <v>6</v>
      </c>
      <c r="H25" s="4">
        <v>3</v>
      </c>
    </row>
    <row r="26" spans="1:29" ht="28.2" thickBot="1" x14ac:dyDescent="0.35">
      <c r="A26" s="3" t="s">
        <v>174</v>
      </c>
      <c r="B26" s="4">
        <v>832.3</v>
      </c>
      <c r="C26" s="4">
        <v>1</v>
      </c>
      <c r="D26" s="4" t="s">
        <v>144</v>
      </c>
      <c r="E26" s="4">
        <v>2</v>
      </c>
      <c r="F26" s="4">
        <v>14.375999999999999</v>
      </c>
      <c r="G26" s="4">
        <v>30.7</v>
      </c>
      <c r="H26" s="4">
        <v>15.9</v>
      </c>
    </row>
    <row r="27" spans="1:29" ht="28.2" thickBot="1" x14ac:dyDescent="0.35">
      <c r="A27" s="3" t="s">
        <v>175</v>
      </c>
      <c r="B27" s="4">
        <v>858.3</v>
      </c>
      <c r="C27" s="4">
        <v>1</v>
      </c>
      <c r="D27" s="4" t="s">
        <v>144</v>
      </c>
      <c r="E27" s="4">
        <v>2</v>
      </c>
      <c r="F27" s="4">
        <v>14.375999999999999</v>
      </c>
      <c r="G27" s="4">
        <v>30.7</v>
      </c>
      <c r="H27" s="57">
        <v>7.9</v>
      </c>
    </row>
    <row r="28" spans="1:29" ht="28.2" thickBot="1" x14ac:dyDescent="0.35">
      <c r="A28" s="3" t="s">
        <v>176</v>
      </c>
      <c r="B28" s="4">
        <v>858.1</v>
      </c>
      <c r="C28" s="4">
        <v>1</v>
      </c>
      <c r="D28" s="4" t="s">
        <v>144</v>
      </c>
      <c r="E28" s="4">
        <v>1</v>
      </c>
      <c r="F28" s="4">
        <v>14.375999999999999</v>
      </c>
      <c r="G28" s="4">
        <v>4</v>
      </c>
      <c r="H28" s="4">
        <v>2</v>
      </c>
    </row>
    <row r="29" spans="1:29" ht="28.2" thickBot="1" x14ac:dyDescent="0.35">
      <c r="A29" s="3" t="s">
        <v>177</v>
      </c>
      <c r="B29" s="4">
        <v>864.1</v>
      </c>
      <c r="C29" s="4">
        <v>1</v>
      </c>
      <c r="D29" s="4" t="s">
        <v>144</v>
      </c>
      <c r="E29" s="4">
        <v>1</v>
      </c>
      <c r="F29" s="4">
        <v>14.375999999999999</v>
      </c>
      <c r="G29" s="4">
        <v>4</v>
      </c>
      <c r="H29" s="4">
        <v>2</v>
      </c>
    </row>
    <row r="30" spans="1:29" ht="28.2" thickBot="1" x14ac:dyDescent="0.35">
      <c r="A30" s="3" t="s">
        <v>178</v>
      </c>
      <c r="B30" s="4">
        <v>858.1</v>
      </c>
      <c r="C30" s="4">
        <v>1</v>
      </c>
      <c r="D30" s="4" t="s">
        <v>144</v>
      </c>
      <c r="E30" s="4">
        <v>1</v>
      </c>
      <c r="F30" s="4">
        <v>14.375999999999999</v>
      </c>
      <c r="G30" s="4">
        <v>23</v>
      </c>
      <c r="H30" s="4">
        <v>12</v>
      </c>
    </row>
    <row r="31" spans="1:29" ht="28.2" thickBot="1" x14ac:dyDescent="0.35">
      <c r="A31" s="3" t="s">
        <v>179</v>
      </c>
      <c r="B31" s="4">
        <v>834.1</v>
      </c>
      <c r="C31" s="4">
        <v>1</v>
      </c>
      <c r="D31" s="4" t="s">
        <v>144</v>
      </c>
      <c r="E31" s="4">
        <v>1</v>
      </c>
      <c r="F31" s="4">
        <v>14.375999999999999</v>
      </c>
      <c r="G31" s="4">
        <v>23</v>
      </c>
      <c r="H31" s="4">
        <v>12</v>
      </c>
    </row>
    <row r="32" spans="1:29" ht="28.2" thickBot="1" x14ac:dyDescent="0.35">
      <c r="A32" s="3" t="s">
        <v>180</v>
      </c>
      <c r="B32" s="4">
        <v>858.2</v>
      </c>
      <c r="C32" s="4">
        <v>1</v>
      </c>
      <c r="D32" s="4" t="s">
        <v>144</v>
      </c>
      <c r="E32" s="4">
        <v>1</v>
      </c>
      <c r="F32" s="4">
        <v>14.375999999999999</v>
      </c>
      <c r="G32" s="4">
        <v>72</v>
      </c>
      <c r="H32" s="4">
        <v>37</v>
      </c>
    </row>
    <row r="33" spans="1:8" ht="28.2" thickBot="1" x14ac:dyDescent="0.35">
      <c r="A33" s="3" t="s">
        <v>181</v>
      </c>
      <c r="B33" s="4">
        <v>834.2</v>
      </c>
      <c r="C33" s="4">
        <v>1</v>
      </c>
      <c r="D33" s="4" t="s">
        <v>144</v>
      </c>
      <c r="E33" s="4">
        <v>1</v>
      </c>
      <c r="F33" s="4">
        <v>14.375999999999999</v>
      </c>
      <c r="G33" s="4">
        <v>72</v>
      </c>
      <c r="H33" s="4">
        <v>37</v>
      </c>
    </row>
    <row r="34" spans="1:8" ht="28.2" thickBot="1" x14ac:dyDescent="0.35">
      <c r="A34" s="3" t="s">
        <v>182</v>
      </c>
      <c r="B34" s="4">
        <v>858.3</v>
      </c>
      <c r="C34" s="4">
        <v>1</v>
      </c>
      <c r="D34" s="4" t="s">
        <v>144</v>
      </c>
      <c r="E34" s="4">
        <v>1</v>
      </c>
      <c r="F34" s="4">
        <v>14.375999999999999</v>
      </c>
      <c r="G34" s="4">
        <v>73.5</v>
      </c>
      <c r="H34" s="4">
        <v>38</v>
      </c>
    </row>
    <row r="35" spans="1:8" ht="28.2" thickBot="1" x14ac:dyDescent="0.35">
      <c r="A35" s="3" t="s">
        <v>183</v>
      </c>
      <c r="B35" s="4">
        <v>834.3</v>
      </c>
      <c r="C35" s="4">
        <v>1</v>
      </c>
      <c r="D35" s="4" t="s">
        <v>144</v>
      </c>
      <c r="E35" s="4">
        <v>1</v>
      </c>
      <c r="F35" s="4">
        <v>14.375999999999999</v>
      </c>
      <c r="G35" s="4">
        <v>73.5</v>
      </c>
      <c r="H35" s="57">
        <v>19</v>
      </c>
    </row>
    <row r="36" spans="1:8" ht="28.2" thickBot="1" x14ac:dyDescent="0.35">
      <c r="A36" s="3" t="s">
        <v>184</v>
      </c>
      <c r="B36" s="4">
        <v>834.1</v>
      </c>
      <c r="C36" s="4">
        <v>1</v>
      </c>
      <c r="D36" s="4" t="s">
        <v>144</v>
      </c>
      <c r="E36" s="4">
        <v>2</v>
      </c>
      <c r="F36" s="4">
        <v>14.375999999999999</v>
      </c>
      <c r="G36" s="4">
        <v>90</v>
      </c>
      <c r="H36" s="4">
        <v>46</v>
      </c>
    </row>
    <row r="37" spans="1:8" ht="28.2" thickBot="1" x14ac:dyDescent="0.35">
      <c r="A37" s="3" t="s">
        <v>185</v>
      </c>
      <c r="B37" s="4">
        <v>860.1</v>
      </c>
      <c r="C37" s="4">
        <v>1</v>
      </c>
      <c r="D37" s="4" t="s">
        <v>144</v>
      </c>
      <c r="E37" s="4">
        <v>2</v>
      </c>
      <c r="F37" s="4">
        <v>14.375999999999999</v>
      </c>
      <c r="G37" s="4">
        <v>90</v>
      </c>
      <c r="H37" s="4">
        <v>46</v>
      </c>
    </row>
    <row r="38" spans="1:8" ht="28.2" thickBot="1" x14ac:dyDescent="0.35">
      <c r="A38" s="3" t="s">
        <v>186</v>
      </c>
      <c r="B38" s="4">
        <v>834.2</v>
      </c>
      <c r="C38" s="4">
        <v>1</v>
      </c>
      <c r="D38" s="4" t="s">
        <v>144</v>
      </c>
      <c r="E38" s="4">
        <v>2</v>
      </c>
      <c r="F38" s="4">
        <v>14.375999999999999</v>
      </c>
      <c r="G38" s="4">
        <v>120</v>
      </c>
      <c r="H38" s="4">
        <v>62</v>
      </c>
    </row>
    <row r="39" spans="1:8" ht="28.2" thickBot="1" x14ac:dyDescent="0.35">
      <c r="A39" s="3" t="s">
        <v>187</v>
      </c>
      <c r="B39" s="4">
        <v>860.2</v>
      </c>
      <c r="C39" s="4">
        <v>1</v>
      </c>
      <c r="D39" s="4" t="s">
        <v>144</v>
      </c>
      <c r="E39" s="4">
        <v>2</v>
      </c>
      <c r="F39" s="4">
        <v>14.375999999999999</v>
      </c>
      <c r="G39" s="4">
        <v>120</v>
      </c>
      <c r="H39" s="4">
        <v>62</v>
      </c>
    </row>
    <row r="40" spans="1:8" ht="28.2" thickBot="1" x14ac:dyDescent="0.35">
      <c r="A40" s="3" t="s">
        <v>188</v>
      </c>
      <c r="B40" s="4">
        <v>834.3</v>
      </c>
      <c r="C40" s="4">
        <v>1</v>
      </c>
      <c r="D40" s="4" t="s">
        <v>144</v>
      </c>
      <c r="E40" s="4">
        <v>2</v>
      </c>
      <c r="F40" s="4">
        <v>14.375999999999999</v>
      </c>
      <c r="G40" s="4">
        <v>637.70000000000005</v>
      </c>
      <c r="H40" s="4">
        <v>329.7</v>
      </c>
    </row>
    <row r="41" spans="1:8" ht="28.2" thickBot="1" x14ac:dyDescent="0.35">
      <c r="A41" s="3" t="s">
        <v>189</v>
      </c>
      <c r="B41" s="4">
        <v>860.3</v>
      </c>
      <c r="C41" s="4">
        <v>1</v>
      </c>
      <c r="D41" s="4" t="s">
        <v>144</v>
      </c>
      <c r="E41" s="4">
        <v>2</v>
      </c>
      <c r="F41" s="4">
        <v>14.375999999999999</v>
      </c>
      <c r="G41" s="4">
        <v>637.70000000000005</v>
      </c>
      <c r="H41" s="57">
        <v>164.8</v>
      </c>
    </row>
    <row r="42" spans="1:8" ht="28.2" thickBot="1" x14ac:dyDescent="0.35">
      <c r="A42" s="3" t="s">
        <v>190</v>
      </c>
      <c r="B42" s="4">
        <v>860.1</v>
      </c>
      <c r="C42" s="4">
        <v>1</v>
      </c>
      <c r="D42" s="4" t="s">
        <v>144</v>
      </c>
      <c r="E42" s="4">
        <v>1</v>
      </c>
      <c r="F42" s="4">
        <v>14.375999999999999</v>
      </c>
      <c r="G42" s="4">
        <v>157</v>
      </c>
      <c r="H42" s="4">
        <v>81</v>
      </c>
    </row>
    <row r="43" spans="1:8" ht="28.2" thickBot="1" x14ac:dyDescent="0.35">
      <c r="A43" s="3" t="s">
        <v>191</v>
      </c>
      <c r="B43" s="4">
        <v>836.1</v>
      </c>
      <c r="C43" s="4">
        <v>1</v>
      </c>
      <c r="D43" s="4" t="s">
        <v>144</v>
      </c>
      <c r="E43" s="4">
        <v>1</v>
      </c>
      <c r="F43" s="4">
        <v>14.375999999999999</v>
      </c>
      <c r="G43" s="4">
        <v>157</v>
      </c>
      <c r="H43" s="4">
        <v>81</v>
      </c>
    </row>
    <row r="44" spans="1:8" ht="28.2" thickBot="1" x14ac:dyDescent="0.35">
      <c r="A44" s="3" t="s">
        <v>192</v>
      </c>
      <c r="B44" s="4">
        <v>860.2</v>
      </c>
      <c r="C44" s="4">
        <v>1</v>
      </c>
      <c r="D44" s="4" t="s">
        <v>144</v>
      </c>
      <c r="E44" s="4">
        <v>1</v>
      </c>
      <c r="F44" s="4">
        <v>14.375999999999999</v>
      </c>
      <c r="G44" s="4">
        <v>61</v>
      </c>
      <c r="H44" s="4">
        <v>31</v>
      </c>
    </row>
    <row r="45" spans="1:8" ht="28.2" thickBot="1" x14ac:dyDescent="0.35">
      <c r="A45" s="3" t="s">
        <v>193</v>
      </c>
      <c r="B45" s="4">
        <v>836.2</v>
      </c>
      <c r="C45" s="4">
        <v>1</v>
      </c>
      <c r="D45" s="4" t="s">
        <v>144</v>
      </c>
      <c r="E45" s="4">
        <v>1</v>
      </c>
      <c r="F45" s="4">
        <v>14.375999999999999</v>
      </c>
      <c r="G45" s="4">
        <v>61</v>
      </c>
      <c r="H45" s="4">
        <v>31</v>
      </c>
    </row>
    <row r="46" spans="1:8" ht="28.2" thickBot="1" x14ac:dyDescent="0.35">
      <c r="A46" s="3" t="s">
        <v>194</v>
      </c>
      <c r="B46" s="4">
        <v>860.3</v>
      </c>
      <c r="C46" s="4">
        <v>1</v>
      </c>
      <c r="D46" s="4" t="s">
        <v>144</v>
      </c>
      <c r="E46" s="4">
        <v>1</v>
      </c>
      <c r="F46" s="4">
        <v>14.375999999999999</v>
      </c>
      <c r="G46" s="4">
        <v>241.2</v>
      </c>
      <c r="H46" s="4">
        <v>124.7</v>
      </c>
    </row>
    <row r="47" spans="1:8" ht="28.2" thickBot="1" x14ac:dyDescent="0.35">
      <c r="A47" s="3" t="s">
        <v>195</v>
      </c>
      <c r="B47" s="4">
        <v>836.3</v>
      </c>
      <c r="C47" s="4">
        <v>1</v>
      </c>
      <c r="D47" s="4" t="s">
        <v>144</v>
      </c>
      <c r="E47" s="4">
        <v>1</v>
      </c>
      <c r="F47" s="4">
        <v>14.375999999999999</v>
      </c>
      <c r="G47" s="4">
        <v>241.2</v>
      </c>
      <c r="H47" s="57">
        <v>62.4</v>
      </c>
    </row>
    <row r="48" spans="1:8" ht="28.2" thickBot="1" x14ac:dyDescent="0.35">
      <c r="A48" s="3" t="s">
        <v>196</v>
      </c>
      <c r="B48" s="4">
        <v>836.1</v>
      </c>
      <c r="C48" s="4">
        <v>1</v>
      </c>
      <c r="D48" s="4" t="s">
        <v>144</v>
      </c>
      <c r="E48" s="4">
        <v>5</v>
      </c>
      <c r="F48" s="4">
        <v>14.375999999999999</v>
      </c>
      <c r="G48" s="4">
        <v>100</v>
      </c>
      <c r="H48" s="4">
        <v>52</v>
      </c>
    </row>
    <row r="49" spans="1:8" ht="28.2" thickBot="1" x14ac:dyDescent="0.35">
      <c r="A49" s="3" t="s">
        <v>197</v>
      </c>
      <c r="B49" s="4">
        <v>840.1</v>
      </c>
      <c r="C49" s="4">
        <v>1</v>
      </c>
      <c r="D49" s="4" t="s">
        <v>144</v>
      </c>
      <c r="E49" s="4">
        <v>5</v>
      </c>
      <c r="F49" s="4">
        <v>14.375999999999999</v>
      </c>
      <c r="G49" s="4">
        <v>100</v>
      </c>
      <c r="H49" s="4">
        <v>52</v>
      </c>
    </row>
    <row r="50" spans="1:8" ht="28.2" thickBot="1" x14ac:dyDescent="0.35">
      <c r="A50" s="3" t="s">
        <v>198</v>
      </c>
      <c r="B50" s="4">
        <v>836.2</v>
      </c>
      <c r="C50" s="4">
        <v>1</v>
      </c>
      <c r="D50" s="4" t="s">
        <v>144</v>
      </c>
      <c r="E50" s="4">
        <v>5</v>
      </c>
      <c r="F50" s="4">
        <v>14.375999999999999</v>
      </c>
      <c r="G50" s="4">
        <v>125</v>
      </c>
      <c r="H50" s="4">
        <v>65</v>
      </c>
    </row>
    <row r="51" spans="1:8" ht="28.2" thickBot="1" x14ac:dyDescent="0.35">
      <c r="A51" s="3" t="s">
        <v>199</v>
      </c>
      <c r="B51" s="4">
        <v>840.2</v>
      </c>
      <c r="C51" s="4">
        <v>1</v>
      </c>
      <c r="D51" s="4" t="s">
        <v>144</v>
      </c>
      <c r="E51" s="4">
        <v>5</v>
      </c>
      <c r="F51" s="4">
        <v>14.375999999999999</v>
      </c>
      <c r="G51" s="4">
        <v>125</v>
      </c>
      <c r="H51" s="4">
        <v>65</v>
      </c>
    </row>
    <row r="52" spans="1:8" ht="28.2" thickBot="1" x14ac:dyDescent="0.35">
      <c r="A52" s="3" t="s">
        <v>200</v>
      </c>
      <c r="B52" s="4">
        <v>862.1</v>
      </c>
      <c r="C52" s="4">
        <v>1</v>
      </c>
      <c r="D52" s="4" t="s">
        <v>144</v>
      </c>
      <c r="E52" s="4">
        <v>1</v>
      </c>
      <c r="F52" s="4">
        <v>14.375999999999999</v>
      </c>
      <c r="G52" s="4">
        <v>158</v>
      </c>
      <c r="H52" s="4">
        <v>82</v>
      </c>
    </row>
    <row r="53" spans="1:8" ht="28.2" thickBot="1" x14ac:dyDescent="0.35">
      <c r="A53" s="3" t="s">
        <v>201</v>
      </c>
      <c r="B53" s="4">
        <v>838.1</v>
      </c>
      <c r="C53" s="4">
        <v>1</v>
      </c>
      <c r="D53" s="4" t="s">
        <v>144</v>
      </c>
      <c r="E53" s="4">
        <v>1</v>
      </c>
      <c r="F53" s="4">
        <v>14.375999999999999</v>
      </c>
      <c r="G53" s="4">
        <v>158</v>
      </c>
      <c r="H53" s="4">
        <v>82</v>
      </c>
    </row>
    <row r="54" spans="1:8" ht="28.2" thickBot="1" x14ac:dyDescent="0.35">
      <c r="A54" s="3" t="s">
        <v>202</v>
      </c>
      <c r="B54" s="4">
        <v>842.1</v>
      </c>
      <c r="C54" s="4">
        <v>1</v>
      </c>
      <c r="D54" s="4" t="s">
        <v>144</v>
      </c>
      <c r="E54" s="4">
        <v>1</v>
      </c>
      <c r="F54" s="4">
        <v>14.375999999999999</v>
      </c>
      <c r="G54" s="4">
        <v>52</v>
      </c>
      <c r="H54" s="4">
        <v>27</v>
      </c>
    </row>
    <row r="55" spans="1:8" ht="28.2" thickBot="1" x14ac:dyDescent="0.35">
      <c r="A55" s="3" t="s">
        <v>203</v>
      </c>
      <c r="B55" s="4">
        <v>844.1</v>
      </c>
      <c r="C55" s="4">
        <v>1</v>
      </c>
      <c r="D55" s="4" t="s">
        <v>144</v>
      </c>
      <c r="E55" s="4">
        <v>1</v>
      </c>
      <c r="F55" s="4">
        <v>14.375999999999999</v>
      </c>
      <c r="G55" s="4">
        <v>52</v>
      </c>
      <c r="H55" s="4">
        <v>27</v>
      </c>
    </row>
    <row r="56" spans="1:8" ht="28.2" thickBot="1" x14ac:dyDescent="0.35">
      <c r="A56" s="3" t="s">
        <v>204</v>
      </c>
      <c r="B56" s="4">
        <v>844.2</v>
      </c>
      <c r="C56" s="4">
        <v>1</v>
      </c>
      <c r="D56" s="4" t="s">
        <v>144</v>
      </c>
      <c r="E56" s="4">
        <v>1</v>
      </c>
      <c r="F56" s="4">
        <v>14.375999999999999</v>
      </c>
      <c r="G56" s="4">
        <v>141</v>
      </c>
      <c r="H56" s="4">
        <v>73</v>
      </c>
    </row>
    <row r="57" spans="1:8" ht="28.2" thickBot="1" x14ac:dyDescent="0.35">
      <c r="A57" s="3" t="s">
        <v>205</v>
      </c>
      <c r="B57" s="4">
        <v>846.2</v>
      </c>
      <c r="C57" s="4">
        <v>1</v>
      </c>
      <c r="D57" s="4" t="s">
        <v>144</v>
      </c>
      <c r="E57" s="4">
        <v>1</v>
      </c>
      <c r="F57" s="4">
        <v>14.375999999999999</v>
      </c>
      <c r="G57" s="4">
        <v>141</v>
      </c>
      <c r="H57" s="4">
        <v>73</v>
      </c>
    </row>
    <row r="58" spans="1:8" ht="28.2" thickBot="1" x14ac:dyDescent="0.35">
      <c r="A58" s="3" t="s">
        <v>206</v>
      </c>
      <c r="B58" s="4">
        <v>844.3</v>
      </c>
      <c r="C58" s="4">
        <v>1</v>
      </c>
      <c r="D58" s="4" t="s">
        <v>144</v>
      </c>
      <c r="E58" s="4">
        <v>1</v>
      </c>
      <c r="F58" s="4">
        <v>14.375999999999999</v>
      </c>
      <c r="G58" s="4">
        <v>127.5</v>
      </c>
      <c r="H58" s="4">
        <v>65.900000000000006</v>
      </c>
    </row>
    <row r="59" spans="1:8" ht="28.2" thickBot="1" x14ac:dyDescent="0.35">
      <c r="A59" s="3" t="s">
        <v>207</v>
      </c>
      <c r="B59" s="4">
        <v>846.3</v>
      </c>
      <c r="C59" s="4">
        <v>1</v>
      </c>
      <c r="D59" s="4" t="s">
        <v>144</v>
      </c>
      <c r="E59" s="4">
        <v>1</v>
      </c>
      <c r="F59" s="4">
        <v>14.375999999999999</v>
      </c>
      <c r="G59" s="4">
        <v>127.5</v>
      </c>
      <c r="H59" s="57">
        <v>33</v>
      </c>
    </row>
    <row r="60" spans="1:8" ht="28.2" thickBot="1" x14ac:dyDescent="0.35">
      <c r="A60" s="3" t="s">
        <v>208</v>
      </c>
      <c r="B60" s="4">
        <v>846.2</v>
      </c>
      <c r="C60" s="4">
        <v>1</v>
      </c>
      <c r="D60" s="4" t="s">
        <v>144</v>
      </c>
      <c r="E60" s="4">
        <v>1</v>
      </c>
      <c r="F60" s="4">
        <v>14.375999999999999</v>
      </c>
      <c r="G60" s="4">
        <v>130</v>
      </c>
      <c r="H60" s="4">
        <v>67</v>
      </c>
    </row>
    <row r="61" spans="1:8" ht="28.2" thickBot="1" x14ac:dyDescent="0.35">
      <c r="A61" s="3" t="s">
        <v>209</v>
      </c>
      <c r="B61" s="4">
        <v>848.2</v>
      </c>
      <c r="C61" s="4">
        <v>1</v>
      </c>
      <c r="D61" s="4" t="s">
        <v>144</v>
      </c>
      <c r="E61" s="4">
        <v>1</v>
      </c>
      <c r="F61" s="4">
        <v>14.375999999999999</v>
      </c>
      <c r="G61" s="4">
        <v>130</v>
      </c>
      <c r="H61" s="4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Planilha2</vt:lpstr>
      <vt:lpstr>Cargas Originais</vt:lpstr>
      <vt:lpstr>Cargas Alteradas</vt:lpstr>
      <vt:lpstr>Planilha5</vt:lpstr>
      <vt:lpstr>Planilha3</vt:lpstr>
      <vt:lpstr>Planilha4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Nilberth Souza</dc:creator>
  <cp:lastModifiedBy>Nilberth Souza</cp:lastModifiedBy>
  <dcterms:created xsi:type="dcterms:W3CDTF">2026-04-19T14:36:31Z</dcterms:created>
  <dcterms:modified xsi:type="dcterms:W3CDTF">2026-04-21T02:25:55Z</dcterms:modified>
</cp:coreProperties>
</file>